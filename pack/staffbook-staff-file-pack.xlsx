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raining matrix" sheetId="1" r:id="rId1"/>
    <sheet name="Expiries (automatic)" sheetId="2" r:id="rId2"/>
    <sheet name="Supervision tracker" sheetId="3" r:id="rId3"/>
    <sheet name="DBS re-check log" sheetId="4" r:id="rId4"/>
    <sheet name="Diploma clocks" sheetId="5" r:id="rId5"/>
    <sheet name="Governance clocks" sheetId="6" r:id="rId6"/>
    <sheet name="Staff file checklist" sheetId="7" r:id="rId7"/>
    <sheet name="Employment gaps" sheetId="8" r:id="rId8"/>
    <sheet name="Inspection self-audit" sheetId="9" r:id="rId9"/>
  </sheets>
  <definedNames>
    <definedName name="_xlnm.Print_Titles" localSheetId="0">'Training matrix'!$4:$5</definedName>
    <definedName name="_xlnm.Print_Titles" localSheetId="1">'Expiries (automatic)'!$4:$5</definedName>
    <definedName name="_xlnm.Print_Titles" localSheetId="2">'Supervision tracker'!$4:$4</definedName>
    <definedName name="_xlnm.Print_Titles" localSheetId="3">'DBS re-check log'!$4:$4</definedName>
    <definedName name="_xlnm.Print_Titles" localSheetId="4">'Diploma clocks'!$4:$4</definedName>
    <definedName name="_xlnm.Print_Titles" localSheetId="5">'Governance clocks'!$4:$4</definedName>
    <definedName name="_xlnm.Print_Titles" localSheetId="6">'Staff file checklist'!$4:$4</definedName>
    <definedName name="_xlnm.Print_Titles" localSheetId="7">'Employment gaps'!$4:$4</definedName>
    <definedName name="_xlnm.Print_Titles" localSheetId="8">'Inspection self-audit'!$4:$4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£&quot;#,##0.00"/>
  </numFmts>
  <fonts count="6">
    <font>
      <sz val="11"/>
      <name val="Calibri"/>
    </font>
    <font>
      <b/>
      <sz val="16"/>
      <name val="Calibri"/>
    </font>
    <font>
      <sz val="10"/>
      <color rgb="FF6B7280"/>
      <name val="Calibri"/>
    </font>
    <font>
      <b/>
      <sz val="11"/>
      <color rgb="FFFFFFFF"/>
      <name val="Calibri"/>
    </font>
    <font>
      <sz val="11"/>
      <color rgb="FF9CA3A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D5C45"/>
      </patternFill>
    </fill>
    <fill>
      <patternFill patternType="solid">
        <fgColor rgb="FFF4F7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/>
    <xf numFmtId="0" fontId="1" fillId="0" borderId="0" applyFont="1"/>
    <xf numFmtId="0" fontId="2" fillId="0" borderId="0" applyFont="1"/>
    <xf numFmtId="0" fontId="3" fillId="2" borderId="0" applyFont="1" applyFill="1" applyAlignment="1">
      <alignment vertical="center" wrapText="1"/>
    </xf>
    <xf numFmtId="0" fontId="4" fillId="0" borderId="0" applyFont="1"/>
    <xf numFmtId="0" fontId="4" fillId="0" borderId="0" applyFont="1" applyAlignment="1">
      <alignment horizontal="center"/>
    </xf>
    <xf numFmtId="0" fontId="5" fillId="0" borderId="0" applyFont="1"/>
    <xf numFmtId="164" fontId="0" fillId="0" borderId="0" applyNumberFormat="1" applyFont="1" applyAlignment="1">
      <alignment horizontal="center"/>
    </xf>
    <xf numFmtId="0" fontId="0" fillId="0" borderId="0" applyFont="1" applyAlignment="1">
      <alignment horizontal="center"/>
    </xf>
    <xf numFmtId="0" fontId="0" fillId="3" borderId="0" applyFont="1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24" customWidth="1"/>
    <col min="2" max="2" width="15" customWidth="1"/>
    <col min="3" max="3" width="15" customWidth="1"/>
    <col min="4" max="4" width="15" customWidth="1"/>
    <col min="5" max="5" width="15" customWidth="1"/>
    <col min="6" max="6" width="15" customWidth="1"/>
    <col min="7" max="7" width="15" customWidth="1"/>
    <col min="8" max="8" width="15" customWidth="1"/>
    <col min="9" max="9" width="15" customWidth="1"/>
  </cols>
  <sheetData>
    <row r="1" ht="24" customHeight="1">
      <c r="A1" s="1" t="inlineStr">
        <is>
          <t>Training matrix</t>
        </is>
      </c>
    </row>
    <row r="2">
      <c r="A2" s="2" t="inlineStr">
        <is>
          <t>Type each completion date under the course. The Expiries tab does the rest. Free from Staffbook (staffbook.co.uk). Keep it, copy it, share it with another home.</t>
        </is>
      </c>
    </row>
    <row r="3"/>
    <row r="4" ht="30" customHeight="1">
      <c r="A4" s="3" t="inlineStr">
        <is>
          <t>Staff member</t>
        </is>
      </c>
      <c r="B4" s="3" t="inlineStr">
        <is>
          <t>Safeguarding Children</t>
        </is>
      </c>
      <c r="C4" s="3" t="inlineStr">
        <is>
          <t>First Aid</t>
        </is>
      </c>
      <c r="D4" s="3" t="inlineStr">
        <is>
          <t>Fire Safety</t>
        </is>
      </c>
      <c r="E4" s="3" t="inlineStr">
        <is>
          <t>Medication Administration</t>
        </is>
      </c>
      <c r="F4" s="3" t="inlineStr">
        <is>
          <t>Food Hygiene</t>
        </is>
      </c>
      <c r="G4" s="3" t="inlineStr">
        <is>
          <t>Health and Safety</t>
        </is>
      </c>
      <c r="H4" s="3" t="inlineStr">
        <is>
          <t>Physical Intervention</t>
        </is>
      </c>
      <c r="I4" s="3" t="inlineStr">
        <is>
          <t>Prevent / Online Safety</t>
        </is>
      </c>
    </row>
    <row r="5">
      <c r="A5" s="4" t="inlineStr">
        <is>
          <t>Renews every</t>
        </is>
      </c>
      <c r="B5" s="5" t="inlineStr">
        <is>
          <t>1 year</t>
        </is>
      </c>
      <c r="C5" s="5" t="inlineStr">
        <is>
          <t>3 years</t>
        </is>
      </c>
      <c r="D5" s="5" t="inlineStr">
        <is>
          <t>1 year</t>
        </is>
      </c>
      <c r="E5" s="5" t="inlineStr">
        <is>
          <t>1 year</t>
        </is>
      </c>
      <c r="F5" s="5" t="inlineStr">
        <is>
          <t>3 years</t>
        </is>
      </c>
      <c r="G5" s="5" t="inlineStr">
        <is>
          <t>1 year</t>
        </is>
      </c>
      <c r="H5" s="5" t="inlineStr">
        <is>
          <t>1 year</t>
        </is>
      </c>
      <c r="I5" s="5" t="inlineStr">
        <is>
          <t>2 years</t>
        </is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</sheetData>
  <mergeCells count="2">
    <mergeCell ref="A1:E1"/>
    <mergeCell ref="A2:I2"/>
  </mergeCells>
  <pageMargins left="0.4" right="0.4" top="0.5" bottom="0.5" header="0.3" footer="0.3"/>
  <pageSetup paperSize="9" orientation="landscape" fitToWidth="1" fitToHeight="0"/>
</worksheet>
</file>

<file path=xl/worksheets/sheet2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24" customWidth="1"/>
    <col min="2" max="2" width="15" customWidth="1"/>
    <col min="3" max="3" width="15" customWidth="1"/>
    <col min="4" max="4" width="15" customWidth="1"/>
    <col min="5" max="5" width="15" customWidth="1"/>
    <col min="6" max="6" width="15" customWidth="1"/>
    <col min="7" max="7" width="15" customWidth="1"/>
    <col min="8" max="8" width="15" customWidth="1"/>
    <col min="9" max="9" width="15" customWidth="1"/>
  </cols>
  <sheetData>
    <row r="1" ht="24" customHeight="1">
      <c r="A1" s="1" t="inlineStr">
        <is>
          <t>Expiry dates, worked out for you</t>
        </is>
      </c>
    </row>
    <row r="2">
      <c r="A2" s="2" t="inlineStr">
        <is>
          <t>Nothing to type here. Red has expired, amber is due within 30 days, green is fine. Check it every Monday.</t>
        </is>
      </c>
    </row>
    <row r="3"/>
    <row r="4" ht="30" customHeight="1">
      <c r="A4" s="3" t="inlineStr">
        <is>
          <t>Staff member</t>
        </is>
      </c>
      <c r="B4" s="3" t="inlineStr">
        <is>
          <t>Safeguarding Children</t>
        </is>
      </c>
      <c r="C4" s="3" t="inlineStr">
        <is>
          <t>First Aid</t>
        </is>
      </c>
      <c r="D4" s="3" t="inlineStr">
        <is>
          <t>Fire Safety</t>
        </is>
      </c>
      <c r="E4" s="3" t="inlineStr">
        <is>
          <t>Medication Administration</t>
        </is>
      </c>
      <c r="F4" s="3" t="inlineStr">
        <is>
          <t>Food Hygiene</t>
        </is>
      </c>
      <c r="G4" s="3" t="inlineStr">
        <is>
          <t>Health and Safety</t>
        </is>
      </c>
      <c r="H4" s="3" t="inlineStr">
        <is>
          <t>Physical Intervention</t>
        </is>
      </c>
      <c r="I4" s="3" t="inlineStr">
        <is>
          <t>Prevent / Online Safety</t>
        </is>
      </c>
    </row>
    <row r="5">
      <c r="A5" s="4" t="inlineStr">
        <is>
          <t>Renews every</t>
        </is>
      </c>
      <c r="B5" s="5" t="inlineStr">
        <is>
          <t>1 year</t>
        </is>
      </c>
      <c r="C5" s="5" t="inlineStr">
        <is>
          <t>3 years</t>
        </is>
      </c>
      <c r="D5" s="5" t="inlineStr">
        <is>
          <t>1 year</t>
        </is>
      </c>
      <c r="E5" s="5" t="inlineStr">
        <is>
          <t>1 year</t>
        </is>
      </c>
      <c r="F5" s="5" t="inlineStr">
        <is>
          <t>3 years</t>
        </is>
      </c>
      <c r="G5" s="5" t="inlineStr">
        <is>
          <t>1 year</t>
        </is>
      </c>
      <c r="H5" s="5" t="inlineStr">
        <is>
          <t>1 year</t>
        </is>
      </c>
      <c r="I5" s="5" t="inlineStr">
        <is>
          <t>2 years</t>
        </is>
      </c>
    </row>
    <row r="6">
      <c r="A6" s="6">
        <f>IF('Training matrix'!A6="","",'Training matrix'!A6)</f>
      </c>
      <c r="B6" s="7">
        <f>IF('Training matrix'!B6="","",EDATE('Training matrix'!B6,12))</f>
      </c>
      <c r="C6" s="7">
        <f>IF('Training matrix'!C6="","",EDATE('Training matrix'!C6,36))</f>
      </c>
      <c r="D6" s="7">
        <f>IF('Training matrix'!D6="","",EDATE('Training matrix'!D6,12))</f>
      </c>
      <c r="E6" s="7">
        <f>IF('Training matrix'!E6="","",EDATE('Training matrix'!E6,12))</f>
      </c>
      <c r="F6" s="7">
        <f>IF('Training matrix'!F6="","",EDATE('Training matrix'!F6,36))</f>
      </c>
      <c r="G6" s="7">
        <f>IF('Training matrix'!G6="","",EDATE('Training matrix'!G6,12))</f>
      </c>
      <c r="H6" s="7">
        <f>IF('Training matrix'!H6="","",EDATE('Training matrix'!H6,12))</f>
      </c>
      <c r="I6" s="7">
        <f>IF('Training matrix'!I6="","",EDATE('Training matrix'!I6,24))</f>
      </c>
    </row>
    <row r="7">
      <c r="A7" s="6">
        <f>IF('Training matrix'!A7="","",'Training matrix'!A7)</f>
      </c>
      <c r="B7" s="7">
        <f>IF('Training matrix'!B7="","",EDATE('Training matrix'!B7,12))</f>
      </c>
      <c r="C7" s="7">
        <f>IF('Training matrix'!C7="","",EDATE('Training matrix'!C7,36))</f>
      </c>
      <c r="D7" s="7">
        <f>IF('Training matrix'!D7="","",EDATE('Training matrix'!D7,12))</f>
      </c>
      <c r="E7" s="7">
        <f>IF('Training matrix'!E7="","",EDATE('Training matrix'!E7,12))</f>
      </c>
      <c r="F7" s="7">
        <f>IF('Training matrix'!F7="","",EDATE('Training matrix'!F7,36))</f>
      </c>
      <c r="G7" s="7">
        <f>IF('Training matrix'!G7="","",EDATE('Training matrix'!G7,12))</f>
      </c>
      <c r="H7" s="7">
        <f>IF('Training matrix'!H7="","",EDATE('Training matrix'!H7,12))</f>
      </c>
      <c r="I7" s="7">
        <f>IF('Training matrix'!I7="","",EDATE('Training matrix'!I7,24))</f>
      </c>
    </row>
    <row r="8">
      <c r="A8" s="6">
        <f>IF('Training matrix'!A8="","",'Training matrix'!A8)</f>
      </c>
      <c r="B8" s="7">
        <f>IF('Training matrix'!B8="","",EDATE('Training matrix'!B8,12))</f>
      </c>
      <c r="C8" s="7">
        <f>IF('Training matrix'!C8="","",EDATE('Training matrix'!C8,36))</f>
      </c>
      <c r="D8" s="7">
        <f>IF('Training matrix'!D8="","",EDATE('Training matrix'!D8,12))</f>
      </c>
      <c r="E8" s="7">
        <f>IF('Training matrix'!E8="","",EDATE('Training matrix'!E8,12))</f>
      </c>
      <c r="F8" s="7">
        <f>IF('Training matrix'!F8="","",EDATE('Training matrix'!F8,36))</f>
      </c>
      <c r="G8" s="7">
        <f>IF('Training matrix'!G8="","",EDATE('Training matrix'!G8,12))</f>
      </c>
      <c r="H8" s="7">
        <f>IF('Training matrix'!H8="","",EDATE('Training matrix'!H8,12))</f>
      </c>
      <c r="I8" s="7">
        <f>IF('Training matrix'!I8="","",EDATE('Training matrix'!I8,24))</f>
      </c>
    </row>
    <row r="9">
      <c r="A9" s="6">
        <f>IF('Training matrix'!A9="","",'Training matrix'!A9)</f>
      </c>
      <c r="B9" s="7">
        <f>IF('Training matrix'!B9="","",EDATE('Training matrix'!B9,12))</f>
      </c>
      <c r="C9" s="7">
        <f>IF('Training matrix'!C9="","",EDATE('Training matrix'!C9,36))</f>
      </c>
      <c r="D9" s="7">
        <f>IF('Training matrix'!D9="","",EDATE('Training matrix'!D9,12))</f>
      </c>
      <c r="E9" s="7">
        <f>IF('Training matrix'!E9="","",EDATE('Training matrix'!E9,12))</f>
      </c>
      <c r="F9" s="7">
        <f>IF('Training matrix'!F9="","",EDATE('Training matrix'!F9,36))</f>
      </c>
      <c r="G9" s="7">
        <f>IF('Training matrix'!G9="","",EDATE('Training matrix'!G9,12))</f>
      </c>
      <c r="H9" s="7">
        <f>IF('Training matrix'!H9="","",EDATE('Training matrix'!H9,12))</f>
      </c>
      <c r="I9" s="7">
        <f>IF('Training matrix'!I9="","",EDATE('Training matrix'!I9,24))</f>
      </c>
    </row>
    <row r="10">
      <c r="A10" s="6">
        <f>IF('Training matrix'!A10="","",'Training matrix'!A10)</f>
      </c>
      <c r="B10" s="7">
        <f>IF('Training matrix'!B10="","",EDATE('Training matrix'!B10,12))</f>
      </c>
      <c r="C10" s="7">
        <f>IF('Training matrix'!C10="","",EDATE('Training matrix'!C10,36))</f>
      </c>
      <c r="D10" s="7">
        <f>IF('Training matrix'!D10="","",EDATE('Training matrix'!D10,12))</f>
      </c>
      <c r="E10" s="7">
        <f>IF('Training matrix'!E10="","",EDATE('Training matrix'!E10,12))</f>
      </c>
      <c r="F10" s="7">
        <f>IF('Training matrix'!F10="","",EDATE('Training matrix'!F10,36))</f>
      </c>
      <c r="G10" s="7">
        <f>IF('Training matrix'!G10="","",EDATE('Training matrix'!G10,12))</f>
      </c>
      <c r="H10" s="7">
        <f>IF('Training matrix'!H10="","",EDATE('Training matrix'!H10,12))</f>
      </c>
      <c r="I10" s="7">
        <f>IF('Training matrix'!I10="","",EDATE('Training matrix'!I10,24))</f>
      </c>
    </row>
    <row r="11">
      <c r="A11" s="6">
        <f>IF('Training matrix'!A11="","",'Training matrix'!A11)</f>
      </c>
      <c r="B11" s="7">
        <f>IF('Training matrix'!B11="","",EDATE('Training matrix'!B11,12))</f>
      </c>
      <c r="C11" s="7">
        <f>IF('Training matrix'!C11="","",EDATE('Training matrix'!C11,36))</f>
      </c>
      <c r="D11" s="7">
        <f>IF('Training matrix'!D11="","",EDATE('Training matrix'!D11,12))</f>
      </c>
      <c r="E11" s="7">
        <f>IF('Training matrix'!E11="","",EDATE('Training matrix'!E11,12))</f>
      </c>
      <c r="F11" s="7">
        <f>IF('Training matrix'!F11="","",EDATE('Training matrix'!F11,36))</f>
      </c>
      <c r="G11" s="7">
        <f>IF('Training matrix'!G11="","",EDATE('Training matrix'!G11,12))</f>
      </c>
      <c r="H11" s="7">
        <f>IF('Training matrix'!H11="","",EDATE('Training matrix'!H11,12))</f>
      </c>
      <c r="I11" s="7">
        <f>IF('Training matrix'!I11="","",EDATE('Training matrix'!I11,24))</f>
      </c>
    </row>
    <row r="12">
      <c r="A12" s="6">
        <f>IF('Training matrix'!A12="","",'Training matrix'!A12)</f>
      </c>
      <c r="B12" s="7">
        <f>IF('Training matrix'!B12="","",EDATE('Training matrix'!B12,12))</f>
      </c>
      <c r="C12" s="7">
        <f>IF('Training matrix'!C12="","",EDATE('Training matrix'!C12,36))</f>
      </c>
      <c r="D12" s="7">
        <f>IF('Training matrix'!D12="","",EDATE('Training matrix'!D12,12))</f>
      </c>
      <c r="E12" s="7">
        <f>IF('Training matrix'!E12="","",EDATE('Training matrix'!E12,12))</f>
      </c>
      <c r="F12" s="7">
        <f>IF('Training matrix'!F12="","",EDATE('Training matrix'!F12,36))</f>
      </c>
      <c r="G12" s="7">
        <f>IF('Training matrix'!G12="","",EDATE('Training matrix'!G12,12))</f>
      </c>
      <c r="H12" s="7">
        <f>IF('Training matrix'!H12="","",EDATE('Training matrix'!H12,12))</f>
      </c>
      <c r="I12" s="7">
        <f>IF('Training matrix'!I12="","",EDATE('Training matrix'!I12,24))</f>
      </c>
    </row>
    <row r="13">
      <c r="A13" s="6">
        <f>IF('Training matrix'!A13="","",'Training matrix'!A13)</f>
      </c>
      <c r="B13" s="7">
        <f>IF('Training matrix'!B13="","",EDATE('Training matrix'!B13,12))</f>
      </c>
      <c r="C13" s="7">
        <f>IF('Training matrix'!C13="","",EDATE('Training matrix'!C13,36))</f>
      </c>
      <c r="D13" s="7">
        <f>IF('Training matrix'!D13="","",EDATE('Training matrix'!D13,12))</f>
      </c>
      <c r="E13" s="7">
        <f>IF('Training matrix'!E13="","",EDATE('Training matrix'!E13,12))</f>
      </c>
      <c r="F13" s="7">
        <f>IF('Training matrix'!F13="","",EDATE('Training matrix'!F13,36))</f>
      </c>
      <c r="G13" s="7">
        <f>IF('Training matrix'!G13="","",EDATE('Training matrix'!G13,12))</f>
      </c>
      <c r="H13" s="7">
        <f>IF('Training matrix'!H13="","",EDATE('Training matrix'!H13,12))</f>
      </c>
      <c r="I13" s="7">
        <f>IF('Training matrix'!I13="","",EDATE('Training matrix'!I13,24))</f>
      </c>
    </row>
    <row r="14">
      <c r="A14" s="6">
        <f>IF('Training matrix'!A14="","",'Training matrix'!A14)</f>
      </c>
      <c r="B14" s="7">
        <f>IF('Training matrix'!B14="","",EDATE('Training matrix'!B14,12))</f>
      </c>
      <c r="C14" s="7">
        <f>IF('Training matrix'!C14="","",EDATE('Training matrix'!C14,36))</f>
      </c>
      <c r="D14" s="7">
        <f>IF('Training matrix'!D14="","",EDATE('Training matrix'!D14,12))</f>
      </c>
      <c r="E14" s="7">
        <f>IF('Training matrix'!E14="","",EDATE('Training matrix'!E14,12))</f>
      </c>
      <c r="F14" s="7">
        <f>IF('Training matrix'!F14="","",EDATE('Training matrix'!F14,36))</f>
      </c>
      <c r="G14" s="7">
        <f>IF('Training matrix'!G14="","",EDATE('Training matrix'!G14,12))</f>
      </c>
      <c r="H14" s="7">
        <f>IF('Training matrix'!H14="","",EDATE('Training matrix'!H14,12))</f>
      </c>
      <c r="I14" s="7">
        <f>IF('Training matrix'!I14="","",EDATE('Training matrix'!I14,24))</f>
      </c>
    </row>
    <row r="15">
      <c r="A15" s="6">
        <f>IF('Training matrix'!A15="","",'Training matrix'!A15)</f>
      </c>
      <c r="B15" s="7">
        <f>IF('Training matrix'!B15="","",EDATE('Training matrix'!B15,12))</f>
      </c>
      <c r="C15" s="7">
        <f>IF('Training matrix'!C15="","",EDATE('Training matrix'!C15,36))</f>
      </c>
      <c r="D15" s="7">
        <f>IF('Training matrix'!D15="","",EDATE('Training matrix'!D15,12))</f>
      </c>
      <c r="E15" s="7">
        <f>IF('Training matrix'!E15="","",EDATE('Training matrix'!E15,12))</f>
      </c>
      <c r="F15" s="7">
        <f>IF('Training matrix'!F15="","",EDATE('Training matrix'!F15,36))</f>
      </c>
      <c r="G15" s="7">
        <f>IF('Training matrix'!G15="","",EDATE('Training matrix'!G15,12))</f>
      </c>
      <c r="H15" s="7">
        <f>IF('Training matrix'!H15="","",EDATE('Training matrix'!H15,12))</f>
      </c>
      <c r="I15" s="7">
        <f>IF('Training matrix'!I15="","",EDATE('Training matrix'!I15,24))</f>
      </c>
    </row>
    <row r="16">
      <c r="A16" s="6">
        <f>IF('Training matrix'!A16="","",'Training matrix'!A16)</f>
      </c>
      <c r="B16" s="7">
        <f>IF('Training matrix'!B16="","",EDATE('Training matrix'!B16,12))</f>
      </c>
      <c r="C16" s="7">
        <f>IF('Training matrix'!C16="","",EDATE('Training matrix'!C16,36))</f>
      </c>
      <c r="D16" s="7">
        <f>IF('Training matrix'!D16="","",EDATE('Training matrix'!D16,12))</f>
      </c>
      <c r="E16" s="7">
        <f>IF('Training matrix'!E16="","",EDATE('Training matrix'!E16,12))</f>
      </c>
      <c r="F16" s="7">
        <f>IF('Training matrix'!F16="","",EDATE('Training matrix'!F16,36))</f>
      </c>
      <c r="G16" s="7">
        <f>IF('Training matrix'!G16="","",EDATE('Training matrix'!G16,12))</f>
      </c>
      <c r="H16" s="7">
        <f>IF('Training matrix'!H16="","",EDATE('Training matrix'!H16,12))</f>
      </c>
      <c r="I16" s="7">
        <f>IF('Training matrix'!I16="","",EDATE('Training matrix'!I16,24))</f>
      </c>
    </row>
    <row r="17">
      <c r="A17" s="6">
        <f>IF('Training matrix'!A17="","",'Training matrix'!A17)</f>
      </c>
      <c r="B17" s="7">
        <f>IF('Training matrix'!B17="","",EDATE('Training matrix'!B17,12))</f>
      </c>
      <c r="C17" s="7">
        <f>IF('Training matrix'!C17="","",EDATE('Training matrix'!C17,36))</f>
      </c>
      <c r="D17" s="7">
        <f>IF('Training matrix'!D17="","",EDATE('Training matrix'!D17,12))</f>
      </c>
      <c r="E17" s="7">
        <f>IF('Training matrix'!E17="","",EDATE('Training matrix'!E17,12))</f>
      </c>
      <c r="F17" s="7">
        <f>IF('Training matrix'!F17="","",EDATE('Training matrix'!F17,36))</f>
      </c>
      <c r="G17" s="7">
        <f>IF('Training matrix'!G17="","",EDATE('Training matrix'!G17,12))</f>
      </c>
      <c r="H17" s="7">
        <f>IF('Training matrix'!H17="","",EDATE('Training matrix'!H17,12))</f>
      </c>
      <c r="I17" s="7">
        <f>IF('Training matrix'!I17="","",EDATE('Training matrix'!I17,24))</f>
      </c>
    </row>
    <row r="18">
      <c r="A18" s="6">
        <f>IF('Training matrix'!A18="","",'Training matrix'!A18)</f>
      </c>
      <c r="B18" s="7">
        <f>IF('Training matrix'!B18="","",EDATE('Training matrix'!B18,12))</f>
      </c>
      <c r="C18" s="7">
        <f>IF('Training matrix'!C18="","",EDATE('Training matrix'!C18,36))</f>
      </c>
      <c r="D18" s="7">
        <f>IF('Training matrix'!D18="","",EDATE('Training matrix'!D18,12))</f>
      </c>
      <c r="E18" s="7">
        <f>IF('Training matrix'!E18="","",EDATE('Training matrix'!E18,12))</f>
      </c>
      <c r="F18" s="7">
        <f>IF('Training matrix'!F18="","",EDATE('Training matrix'!F18,36))</f>
      </c>
      <c r="G18" s="7">
        <f>IF('Training matrix'!G18="","",EDATE('Training matrix'!G18,12))</f>
      </c>
      <c r="H18" s="7">
        <f>IF('Training matrix'!H18="","",EDATE('Training matrix'!H18,12))</f>
      </c>
      <c r="I18" s="7">
        <f>IF('Training matrix'!I18="","",EDATE('Training matrix'!I18,24))</f>
      </c>
    </row>
    <row r="19">
      <c r="A19" s="6">
        <f>IF('Training matrix'!A19="","",'Training matrix'!A19)</f>
      </c>
      <c r="B19" s="7">
        <f>IF('Training matrix'!B19="","",EDATE('Training matrix'!B19,12))</f>
      </c>
      <c r="C19" s="7">
        <f>IF('Training matrix'!C19="","",EDATE('Training matrix'!C19,36))</f>
      </c>
      <c r="D19" s="7">
        <f>IF('Training matrix'!D19="","",EDATE('Training matrix'!D19,12))</f>
      </c>
      <c r="E19" s="7">
        <f>IF('Training matrix'!E19="","",EDATE('Training matrix'!E19,12))</f>
      </c>
      <c r="F19" s="7">
        <f>IF('Training matrix'!F19="","",EDATE('Training matrix'!F19,36))</f>
      </c>
      <c r="G19" s="7">
        <f>IF('Training matrix'!G19="","",EDATE('Training matrix'!G19,12))</f>
      </c>
      <c r="H19" s="7">
        <f>IF('Training matrix'!H19="","",EDATE('Training matrix'!H19,12))</f>
      </c>
      <c r="I19" s="7">
        <f>IF('Training matrix'!I19="","",EDATE('Training matrix'!I19,24))</f>
      </c>
    </row>
    <row r="20">
      <c r="A20" s="6">
        <f>IF('Training matrix'!A20="","",'Training matrix'!A20)</f>
      </c>
      <c r="B20" s="7">
        <f>IF('Training matrix'!B20="","",EDATE('Training matrix'!B20,12))</f>
      </c>
      <c r="C20" s="7">
        <f>IF('Training matrix'!C20="","",EDATE('Training matrix'!C20,36))</f>
      </c>
      <c r="D20" s="7">
        <f>IF('Training matrix'!D20="","",EDATE('Training matrix'!D20,12))</f>
      </c>
      <c r="E20" s="7">
        <f>IF('Training matrix'!E20="","",EDATE('Training matrix'!E20,12))</f>
      </c>
      <c r="F20" s="7">
        <f>IF('Training matrix'!F20="","",EDATE('Training matrix'!F20,36))</f>
      </c>
      <c r="G20" s="7">
        <f>IF('Training matrix'!G20="","",EDATE('Training matrix'!G20,12))</f>
      </c>
      <c r="H20" s="7">
        <f>IF('Training matrix'!H20="","",EDATE('Training matrix'!H20,12))</f>
      </c>
      <c r="I20" s="7">
        <f>IF('Training matrix'!I20="","",EDATE('Training matrix'!I20,24))</f>
      </c>
    </row>
    <row r="21">
      <c r="A21" s="6">
        <f>IF('Training matrix'!A21="","",'Training matrix'!A21)</f>
      </c>
      <c r="B21" s="7">
        <f>IF('Training matrix'!B21="","",EDATE('Training matrix'!B21,12))</f>
      </c>
      <c r="C21" s="7">
        <f>IF('Training matrix'!C21="","",EDATE('Training matrix'!C21,36))</f>
      </c>
      <c r="D21" s="7">
        <f>IF('Training matrix'!D21="","",EDATE('Training matrix'!D21,12))</f>
      </c>
      <c r="E21" s="7">
        <f>IF('Training matrix'!E21="","",EDATE('Training matrix'!E21,12))</f>
      </c>
      <c r="F21" s="7">
        <f>IF('Training matrix'!F21="","",EDATE('Training matrix'!F21,36))</f>
      </c>
      <c r="G21" s="7">
        <f>IF('Training matrix'!G21="","",EDATE('Training matrix'!G21,12))</f>
      </c>
      <c r="H21" s="7">
        <f>IF('Training matrix'!H21="","",EDATE('Training matrix'!H21,12))</f>
      </c>
      <c r="I21" s="7">
        <f>IF('Training matrix'!I21="","",EDATE('Training matrix'!I21,24))</f>
      </c>
    </row>
    <row r="22">
      <c r="A22" s="6">
        <f>IF('Training matrix'!A22="","",'Training matrix'!A22)</f>
      </c>
      <c r="B22" s="7">
        <f>IF('Training matrix'!B22="","",EDATE('Training matrix'!B22,12))</f>
      </c>
      <c r="C22" s="7">
        <f>IF('Training matrix'!C22="","",EDATE('Training matrix'!C22,36))</f>
      </c>
      <c r="D22" s="7">
        <f>IF('Training matrix'!D22="","",EDATE('Training matrix'!D22,12))</f>
      </c>
      <c r="E22" s="7">
        <f>IF('Training matrix'!E22="","",EDATE('Training matrix'!E22,12))</f>
      </c>
      <c r="F22" s="7">
        <f>IF('Training matrix'!F22="","",EDATE('Training matrix'!F22,36))</f>
      </c>
      <c r="G22" s="7">
        <f>IF('Training matrix'!G22="","",EDATE('Training matrix'!G22,12))</f>
      </c>
      <c r="H22" s="7">
        <f>IF('Training matrix'!H22="","",EDATE('Training matrix'!H22,12))</f>
      </c>
      <c r="I22" s="7">
        <f>IF('Training matrix'!I22="","",EDATE('Training matrix'!I22,24))</f>
      </c>
    </row>
    <row r="23">
      <c r="A23" s="6">
        <f>IF('Training matrix'!A23="","",'Training matrix'!A23)</f>
      </c>
      <c r="B23" s="7">
        <f>IF('Training matrix'!B23="","",EDATE('Training matrix'!B23,12))</f>
      </c>
      <c r="C23" s="7">
        <f>IF('Training matrix'!C23="","",EDATE('Training matrix'!C23,36))</f>
      </c>
      <c r="D23" s="7">
        <f>IF('Training matrix'!D23="","",EDATE('Training matrix'!D23,12))</f>
      </c>
      <c r="E23" s="7">
        <f>IF('Training matrix'!E23="","",EDATE('Training matrix'!E23,12))</f>
      </c>
      <c r="F23" s="7">
        <f>IF('Training matrix'!F23="","",EDATE('Training matrix'!F23,36))</f>
      </c>
      <c r="G23" s="7">
        <f>IF('Training matrix'!G23="","",EDATE('Training matrix'!G23,12))</f>
      </c>
      <c r="H23" s="7">
        <f>IF('Training matrix'!H23="","",EDATE('Training matrix'!H23,12))</f>
      </c>
      <c r="I23" s="7">
        <f>IF('Training matrix'!I23="","",EDATE('Training matrix'!I23,24))</f>
      </c>
    </row>
    <row r="24">
      <c r="A24" s="6">
        <f>IF('Training matrix'!A24="","",'Training matrix'!A24)</f>
      </c>
      <c r="B24" s="7">
        <f>IF('Training matrix'!B24="","",EDATE('Training matrix'!B24,12))</f>
      </c>
      <c r="C24" s="7">
        <f>IF('Training matrix'!C24="","",EDATE('Training matrix'!C24,36))</f>
      </c>
      <c r="D24" s="7">
        <f>IF('Training matrix'!D24="","",EDATE('Training matrix'!D24,12))</f>
      </c>
      <c r="E24" s="7">
        <f>IF('Training matrix'!E24="","",EDATE('Training matrix'!E24,12))</f>
      </c>
      <c r="F24" s="7">
        <f>IF('Training matrix'!F24="","",EDATE('Training matrix'!F24,36))</f>
      </c>
      <c r="G24" s="7">
        <f>IF('Training matrix'!G24="","",EDATE('Training matrix'!G24,12))</f>
      </c>
      <c r="H24" s="7">
        <f>IF('Training matrix'!H24="","",EDATE('Training matrix'!H24,12))</f>
      </c>
      <c r="I24" s="7">
        <f>IF('Training matrix'!I24="","",EDATE('Training matrix'!I24,24))</f>
      </c>
    </row>
    <row r="25">
      <c r="A25" s="6">
        <f>IF('Training matrix'!A25="","",'Training matrix'!A25)</f>
      </c>
      <c r="B25" s="7">
        <f>IF('Training matrix'!B25="","",EDATE('Training matrix'!B25,12))</f>
      </c>
      <c r="C25" s="7">
        <f>IF('Training matrix'!C25="","",EDATE('Training matrix'!C25,36))</f>
      </c>
      <c r="D25" s="7">
        <f>IF('Training matrix'!D25="","",EDATE('Training matrix'!D25,12))</f>
      </c>
      <c r="E25" s="7">
        <f>IF('Training matrix'!E25="","",EDATE('Training matrix'!E25,12))</f>
      </c>
      <c r="F25" s="7">
        <f>IF('Training matrix'!F25="","",EDATE('Training matrix'!F25,36))</f>
      </c>
      <c r="G25" s="7">
        <f>IF('Training matrix'!G25="","",EDATE('Training matrix'!G25,12))</f>
      </c>
      <c r="H25" s="7">
        <f>IF('Training matrix'!H25="","",EDATE('Training matrix'!H25,12))</f>
      </c>
      <c r="I25" s="7">
        <f>IF('Training matrix'!I25="","",EDATE('Training matrix'!I25,24))</f>
      </c>
    </row>
  </sheetData>
  <mergeCells count="2">
    <mergeCell ref="A1:E1"/>
    <mergeCell ref="A2:I2"/>
  </mergeCells>
  <conditionalFormatting sqref="B6:I25">
    <cfRule type="expression" dxfId="0" priority="1">
      <formula>AND(B6&lt;&gt;"",B6&lt;TODAY())</formula>
    </cfRule>
    <cfRule type="expression" dxfId="1" priority="2">
      <formula>AND(B6&lt;&gt;"",B6&lt;TODAY()+30)</formula>
    </cfRule>
    <cfRule type="expression" dxfId="2" priority="3">
      <formula>AND(B6&lt;&gt;"",B6&gt;=TODAY()+30)</formula>
    </cfRule>
  </conditionalFormatting>
  <pageMargins left="0.4" right="0.4" top="0.5" bottom="0.5" header="0.3" footer="0.3"/>
  <pageSetup paperSize="9" orientation="landscape" fitToWidth="1" fitToHeight="0"/>
</worksheet>
</file>

<file path=xl/worksheets/sheet3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26" customWidth="1"/>
    <col min="2" max="2" width="12" customWidth="1"/>
    <col min="3" max="3" width="16" customWidth="1"/>
    <col min="4" max="4" width="12" customWidth="1"/>
    <col min="5" max="5" width="12" customWidth="1"/>
  </cols>
  <sheetData>
    <row r="1" ht="24" customHeight="1">
      <c r="A1" s="1" t="inlineStr">
        <is>
          <t>Supervision tracker</t>
        </is>
      </c>
    </row>
    <row r="2">
      <c r="A2" s="2" t="inlineStr">
        <is>
          <t>Name, your cycle in days (28 is common), and the date of the last supervision. The rest computes itself. The manager goes on this list too: theirs is the record inspectors ask for first.</t>
        </is>
      </c>
    </row>
    <row r="3"/>
    <row r="4" ht="30" customHeight="1">
      <c r="A4" s="3" t="inlineStr">
        <is>
          <t>Staff member</t>
        </is>
      </c>
      <c r="B4" s="3" t="inlineStr">
        <is>
          <t>Cycle (days)</t>
        </is>
      </c>
      <c r="C4" s="3" t="inlineStr">
        <is>
          <t>Last supervision</t>
        </is>
      </c>
      <c r="D4" s="3" t="inlineStr">
        <is>
          <t>Days since</t>
        </is>
      </c>
      <c r="E4" s="3" t="inlineStr">
        <is>
          <t>Standing</t>
        </is>
      </c>
    </row>
    <row r="5">
      <c r="A5" s="4" t="inlineStr">
        <is>
          <t>Example: change or delete this row</t>
        </is>
      </c>
      <c r="B5" s="8">
        <v>28</v>
      </c>
      <c r="C5" s="7">
        <v>46219</v>
      </c>
      <c r="D5" s="8">
        <f>IF(C5="","",TODAY()-C5)</f>
      </c>
      <c r="E5" s="8">
        <f>IF(C5="","",IF(TODAY()-C5&gt;B5,"OVERDUE",IF(TODAY()-C5&gt;B5-7,"DUE","OK")))</f>
      </c>
    </row>
    <row r="6">
      <c r="B6" s="8">
        <v>28</v>
      </c>
      <c r="D6" s="8">
        <f>IF(C6="","",TODAY()-C6)</f>
      </c>
      <c r="E6" s="8">
        <f>IF(C6="","",IF(TODAY()-C6&gt;B6,"OVERDUE",IF(TODAY()-C6&gt;B6-7,"DUE","OK")))</f>
      </c>
    </row>
    <row r="7">
      <c r="B7" s="8">
        <v>28</v>
      </c>
      <c r="D7" s="8">
        <f>IF(C7="","",TODAY()-C7)</f>
      </c>
      <c r="E7" s="8">
        <f>IF(C7="","",IF(TODAY()-C7&gt;B7,"OVERDUE",IF(TODAY()-C7&gt;B7-7,"DUE","OK")))</f>
      </c>
    </row>
    <row r="8">
      <c r="B8" s="8">
        <v>28</v>
      </c>
      <c r="D8" s="8">
        <f>IF(C8="","",TODAY()-C8)</f>
      </c>
      <c r="E8" s="8">
        <f>IF(C8="","",IF(TODAY()-C8&gt;B8,"OVERDUE",IF(TODAY()-C8&gt;B8-7,"DUE","OK")))</f>
      </c>
    </row>
    <row r="9">
      <c r="B9" s="8">
        <v>28</v>
      </c>
      <c r="D9" s="8">
        <f>IF(C9="","",TODAY()-C9)</f>
      </c>
      <c r="E9" s="8">
        <f>IF(C9="","",IF(TODAY()-C9&gt;B9,"OVERDUE",IF(TODAY()-C9&gt;B9-7,"DUE","OK")))</f>
      </c>
    </row>
    <row r="10">
      <c r="B10" s="8">
        <v>28</v>
      </c>
      <c r="D10" s="8">
        <f>IF(C10="","",TODAY()-C10)</f>
      </c>
      <c r="E10" s="8">
        <f>IF(C10="","",IF(TODAY()-C10&gt;B10,"OVERDUE",IF(TODAY()-C10&gt;B10-7,"DUE","OK")))</f>
      </c>
    </row>
    <row r="11">
      <c r="B11" s="8">
        <v>28</v>
      </c>
      <c r="D11" s="8">
        <f>IF(C11="","",TODAY()-C11)</f>
      </c>
      <c r="E11" s="8">
        <f>IF(C11="","",IF(TODAY()-C11&gt;B11,"OVERDUE",IF(TODAY()-C11&gt;B11-7,"DUE","OK")))</f>
      </c>
    </row>
    <row r="12">
      <c r="B12" s="8">
        <v>28</v>
      </c>
      <c r="D12" s="8">
        <f>IF(C12="","",TODAY()-C12)</f>
      </c>
      <c r="E12" s="8">
        <f>IF(C12="","",IF(TODAY()-C12&gt;B12,"OVERDUE",IF(TODAY()-C12&gt;B12-7,"DUE","OK")))</f>
      </c>
    </row>
    <row r="13">
      <c r="B13" s="8">
        <v>28</v>
      </c>
      <c r="D13" s="8">
        <f>IF(C13="","",TODAY()-C13)</f>
      </c>
      <c r="E13" s="8">
        <f>IF(C13="","",IF(TODAY()-C13&gt;B13,"OVERDUE",IF(TODAY()-C13&gt;B13-7,"DUE","OK")))</f>
      </c>
    </row>
    <row r="14">
      <c r="B14" s="8">
        <v>28</v>
      </c>
      <c r="D14" s="8">
        <f>IF(C14="","",TODAY()-C14)</f>
      </c>
      <c r="E14" s="8">
        <f>IF(C14="","",IF(TODAY()-C14&gt;B14,"OVERDUE",IF(TODAY()-C14&gt;B14-7,"DUE","OK")))</f>
      </c>
    </row>
    <row r="15">
      <c r="B15" s="8">
        <v>28</v>
      </c>
      <c r="D15" s="8">
        <f>IF(C15="","",TODAY()-C15)</f>
      </c>
      <c r="E15" s="8">
        <f>IF(C15="","",IF(TODAY()-C15&gt;B15,"OVERDUE",IF(TODAY()-C15&gt;B15-7,"DUE","OK")))</f>
      </c>
    </row>
    <row r="16">
      <c r="B16" s="8">
        <v>28</v>
      </c>
      <c r="D16" s="8">
        <f>IF(C16="","",TODAY()-C16)</f>
      </c>
      <c r="E16" s="8">
        <f>IF(C16="","",IF(TODAY()-C16&gt;B16,"OVERDUE",IF(TODAY()-C16&gt;B16-7,"DUE","OK")))</f>
      </c>
    </row>
    <row r="17">
      <c r="B17" s="8">
        <v>28</v>
      </c>
      <c r="D17" s="8">
        <f>IF(C17="","",TODAY()-C17)</f>
      </c>
      <c r="E17" s="8">
        <f>IF(C17="","",IF(TODAY()-C17&gt;B17,"OVERDUE",IF(TODAY()-C17&gt;B17-7,"DUE","OK")))</f>
      </c>
    </row>
    <row r="18">
      <c r="B18" s="8">
        <v>28</v>
      </c>
      <c r="D18" s="8">
        <f>IF(C18="","",TODAY()-C18)</f>
      </c>
      <c r="E18" s="8">
        <f>IF(C18="","",IF(TODAY()-C18&gt;B18,"OVERDUE",IF(TODAY()-C18&gt;B18-7,"DUE","OK")))</f>
      </c>
    </row>
    <row r="19">
      <c r="B19" s="8">
        <v>28</v>
      </c>
      <c r="D19" s="8">
        <f>IF(C19="","",TODAY()-C19)</f>
      </c>
      <c r="E19" s="8">
        <f>IF(C19="","",IF(TODAY()-C19&gt;B19,"OVERDUE",IF(TODAY()-C19&gt;B19-7,"DUE","OK")))</f>
      </c>
    </row>
    <row r="20">
      <c r="B20" s="8">
        <v>28</v>
      </c>
      <c r="D20" s="8">
        <f>IF(C20="","",TODAY()-C20)</f>
      </c>
      <c r="E20" s="8">
        <f>IF(C20="","",IF(TODAY()-C20&gt;B20,"OVERDUE",IF(TODAY()-C20&gt;B20-7,"DUE","OK")))</f>
      </c>
    </row>
    <row r="21">
      <c r="B21" s="8">
        <v>28</v>
      </c>
      <c r="D21" s="8">
        <f>IF(C21="","",TODAY()-C21)</f>
      </c>
      <c r="E21" s="8">
        <f>IF(C21="","",IF(TODAY()-C21&gt;B21,"OVERDUE",IF(TODAY()-C21&gt;B21-7,"DUE","OK")))</f>
      </c>
    </row>
    <row r="22">
      <c r="B22" s="8">
        <v>28</v>
      </c>
      <c r="D22" s="8">
        <f>IF(C22="","",TODAY()-C22)</f>
      </c>
      <c r="E22" s="8">
        <f>IF(C22="","",IF(TODAY()-C22&gt;B22,"OVERDUE",IF(TODAY()-C22&gt;B22-7,"DUE","OK")))</f>
      </c>
    </row>
    <row r="23">
      <c r="B23" s="8">
        <v>28</v>
      </c>
      <c r="D23" s="8">
        <f>IF(C23="","",TODAY()-C23)</f>
      </c>
      <c r="E23" s="8">
        <f>IF(C23="","",IF(TODAY()-C23&gt;B23,"OVERDUE",IF(TODAY()-C23&gt;B23-7,"DUE","OK")))</f>
      </c>
    </row>
    <row r="24">
      <c r="B24" s="8">
        <v>28</v>
      </c>
      <c r="D24" s="8">
        <f>IF(C24="","",TODAY()-C24)</f>
      </c>
      <c r="E24" s="8">
        <f>IF(C24="","",IF(TODAY()-C24&gt;B24,"OVERDUE",IF(TODAY()-C24&gt;B24-7,"DUE","OK")))</f>
      </c>
    </row>
    <row r="25">
      <c r="B25" s="8">
        <v>28</v>
      </c>
      <c r="D25" s="8">
        <f>IF(C25="","",TODAY()-C25)</f>
      </c>
      <c r="E25" s="8">
        <f>IF(C25="","",IF(TODAY()-C25&gt;B25,"OVERDUE",IF(TODAY()-C25&gt;B25-7,"DUE","OK")))</f>
      </c>
    </row>
  </sheetData>
  <mergeCells count="2">
    <mergeCell ref="A1:C1"/>
    <mergeCell ref="A2:E2"/>
  </mergeCells>
  <conditionalFormatting sqref="E5:E25">
    <cfRule type="expression" dxfId="0" priority="1">
      <formula>E5="OVERDUE"</formula>
    </cfRule>
    <cfRule type="expression" dxfId="1" priority="2">
      <formula>E5="DUE"</formula>
    </cfRule>
    <cfRule type="expression" dxfId="2" priority="3">
      <formula>E5="OK"</formula>
    </cfRule>
  </conditionalFormatting>
  <pageMargins left="0.4" right="0.4" top="0.5" bottom="0.5" header="0.3" footer="0.3"/>
  <pageSetup paperSize="9" orientation="portrait" fitToWidth="1" fitToHeight="0"/>
</worksheet>
</file>

<file path=xl/worksheets/sheet4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26" customWidth="1"/>
    <col min="2" max="2" width="18" customWidth="1"/>
    <col min="3" max="3" width="20" customWidth="1"/>
    <col min="4" max="4" width="16" customWidth="1"/>
    <col min="5" max="5" width="15" customWidth="1"/>
    <col min="6" max="6" width="24" customWidth="1"/>
  </cols>
  <sheetData>
    <row r="1" ht="24" customHeight="1">
      <c r="A1" s="1" t="inlineStr">
        <is>
          <t>DBS re-check log</t>
        </is>
      </c>
    </row>
    <row r="2">
      <c r="A2" s="2" t="inlineStr">
        <is>
          <t>For staff on the Update Service: run the status check twice a year (one minute each, with consent) and note the date. Next due computes itself. "When did you last check?" is a real inspection question.</t>
        </is>
      </c>
    </row>
    <row r="3"/>
    <row r="4" ht="30" customHeight="1">
      <c r="A4" s="3" t="inlineStr">
        <is>
          <t>Staff member</t>
        </is>
      </c>
      <c r="B4" s="3" t="inlineStr">
        <is>
          <t>Certificate number</t>
        </is>
      </c>
      <c r="C4" s="3" t="inlineStr">
        <is>
          <t>On the Update Service?</t>
        </is>
      </c>
      <c r="D4" s="3" t="inlineStr">
        <is>
          <t>Last status check</t>
        </is>
      </c>
      <c r="E4" s="3" t="inlineStr">
        <is>
          <t>Next check due</t>
        </is>
      </c>
      <c r="F4" s="3" t="inlineStr">
        <is>
          <t>Notes</t>
        </is>
      </c>
    </row>
    <row r="5">
      <c r="A5" s="4" t="inlineStr">
        <is>
          <t>Example: change or delete this row</t>
        </is>
      </c>
      <c r="B5" t="inlineStr">
        <is>
          <t>001234567890</t>
        </is>
      </c>
      <c r="C5" s="8" t="inlineStr">
        <is>
          <t>Yes</t>
        </is>
      </c>
      <c r="D5" s="7">
        <v>46059</v>
      </c>
      <c r="E5" s="7">
        <f>IF(D5="","",EDATE(D5,6))</f>
      </c>
      <c r="F5" t="inlineStr">
        <is>
          <t>No change</t>
        </is>
      </c>
    </row>
    <row r="6">
      <c r="E6" s="7">
        <f>IF(D6="","",EDATE(D6,6))</f>
      </c>
    </row>
    <row r="7">
      <c r="E7" s="7">
        <f>IF(D7="","",EDATE(D7,6))</f>
      </c>
    </row>
    <row r="8">
      <c r="E8" s="7">
        <f>IF(D8="","",EDATE(D8,6))</f>
      </c>
    </row>
    <row r="9">
      <c r="E9" s="7">
        <f>IF(D9="","",EDATE(D9,6))</f>
      </c>
    </row>
    <row r="10">
      <c r="E10" s="7">
        <f>IF(D10="","",EDATE(D10,6))</f>
      </c>
    </row>
    <row r="11">
      <c r="E11" s="7">
        <f>IF(D11="","",EDATE(D11,6))</f>
      </c>
    </row>
    <row r="12">
      <c r="E12" s="7">
        <f>IF(D12="","",EDATE(D12,6))</f>
      </c>
    </row>
    <row r="13">
      <c r="E13" s="7">
        <f>IF(D13="","",EDATE(D13,6))</f>
      </c>
    </row>
    <row r="14">
      <c r="E14" s="7">
        <f>IF(D14="","",EDATE(D14,6))</f>
      </c>
    </row>
    <row r="15">
      <c r="E15" s="7">
        <f>IF(D15="","",EDATE(D15,6))</f>
      </c>
    </row>
    <row r="16">
      <c r="E16" s="7">
        <f>IF(D16="","",EDATE(D16,6))</f>
      </c>
    </row>
    <row r="17">
      <c r="E17" s="7">
        <f>IF(D17="","",EDATE(D17,6))</f>
      </c>
    </row>
    <row r="18">
      <c r="E18" s="7">
        <f>IF(D18="","",EDATE(D18,6))</f>
      </c>
    </row>
    <row r="19">
      <c r="E19" s="7">
        <f>IF(D19="","",EDATE(D19,6))</f>
      </c>
    </row>
    <row r="20">
      <c r="E20" s="7">
        <f>IF(D20="","",EDATE(D20,6))</f>
      </c>
    </row>
    <row r="21">
      <c r="E21" s="7">
        <f>IF(D21="","",EDATE(D21,6))</f>
      </c>
    </row>
    <row r="22">
      <c r="E22" s="7">
        <f>IF(D22="","",EDATE(D22,6))</f>
      </c>
    </row>
    <row r="23">
      <c r="E23" s="7">
        <f>IF(D23="","",EDATE(D23,6))</f>
      </c>
    </row>
    <row r="24">
      <c r="E24" s="7">
        <f>IF(D24="","",EDATE(D24,6))</f>
      </c>
    </row>
    <row r="25">
      <c r="E25" s="7">
        <f>IF(D25="","",EDATE(D25,6))</f>
      </c>
    </row>
  </sheetData>
  <mergeCells count="2">
    <mergeCell ref="A1:C1"/>
    <mergeCell ref="A2:F2"/>
  </mergeCells>
  <conditionalFormatting sqref="E5:E25">
    <cfRule type="expression" dxfId="0" priority="1">
      <formula>AND(E5&lt;&gt;"",E5&lt;TODAY())</formula>
    </cfRule>
    <cfRule type="expression" dxfId="1" priority="2">
      <formula>AND(E5&lt;&gt;"",E5&lt;TODAY()+30)</formula>
    </cfRule>
    <cfRule type="expression" dxfId="2" priority="3">
      <formula>AND(E5&lt;&gt;"",E5&gt;=TODAY()+30)</formula>
    </cfRule>
  </conditionalFormatting>
  <pageMargins left="0.4" right="0.4" top="0.5" bottom="0.5" header="0.3" footer="0.3"/>
  <pageSetup paperSize="9" orientation="portrait" fitToWidth="1" fitToHeight="0"/>
</worksheet>
</file>

<file path=xl/worksheets/sheet5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26" customWidth="1"/>
    <col min="2" max="2" width="14" customWidth="1"/>
    <col min="3" max="3" width="22" customWidth="1"/>
    <col min="4" max="4" width="15" customWidth="1"/>
  </cols>
  <sheetData>
    <row r="1" ht="24" customHeight="1">
      <c r="A1" s="1" t="inlineStr">
        <is>
          <t>Diploma clocks</t>
        </is>
      </c>
    </row>
    <row r="2">
      <c r="A2" s="2" t="inlineStr">
        <is>
          <t>Care staff must gain the Level 3 Diploma within two years of starting. Type their start date and whether they hold it; the deadline computes itself and goes red when it passes.</t>
        </is>
      </c>
    </row>
    <row r="3"/>
    <row r="4" ht="30" customHeight="1">
      <c r="A4" s="3" t="inlineStr">
        <is>
          <t>Staff member</t>
        </is>
      </c>
      <c r="B4" s="3" t="inlineStr">
        <is>
          <t>Start date</t>
        </is>
      </c>
      <c r="C4" s="3" t="inlineStr">
        <is>
          <t>Holds Level 3? (Yes/No)</t>
        </is>
      </c>
      <c r="D4" s="3" t="inlineStr">
        <is>
          <t>Level 3 due by</t>
        </is>
      </c>
    </row>
    <row r="5">
      <c r="A5" s="4" t="inlineStr">
        <is>
          <t>Example: change or delete this row</t>
        </is>
      </c>
      <c r="B5" s="7">
        <v>45759</v>
      </c>
      <c r="C5" s="8" t="inlineStr">
        <is>
          <t>No</t>
        </is>
      </c>
      <c r="D5" s="7">
        <f>IF(OR(B5="",C5="Yes"),"",EDATE(B5,24))</f>
      </c>
    </row>
    <row r="6">
      <c r="C6" s="8"/>
      <c r="D6" s="7">
        <f>IF(OR(B6="",C6="Yes"),"",EDATE(B6,24))</f>
      </c>
    </row>
    <row r="7">
      <c r="C7" s="8"/>
      <c r="D7" s="7">
        <f>IF(OR(B7="",C7="Yes"),"",EDATE(B7,24))</f>
      </c>
    </row>
    <row r="8">
      <c r="C8" s="8"/>
      <c r="D8" s="7">
        <f>IF(OR(B8="",C8="Yes"),"",EDATE(B8,24))</f>
      </c>
    </row>
    <row r="9">
      <c r="C9" s="8"/>
      <c r="D9" s="7">
        <f>IF(OR(B9="",C9="Yes"),"",EDATE(B9,24))</f>
      </c>
    </row>
    <row r="10">
      <c r="C10" s="8"/>
      <c r="D10" s="7">
        <f>IF(OR(B10="",C10="Yes"),"",EDATE(B10,24))</f>
      </c>
    </row>
    <row r="11">
      <c r="C11" s="8"/>
      <c r="D11" s="7">
        <f>IF(OR(B11="",C11="Yes"),"",EDATE(B11,24))</f>
      </c>
    </row>
    <row r="12">
      <c r="C12" s="8"/>
      <c r="D12" s="7">
        <f>IF(OR(B12="",C12="Yes"),"",EDATE(B12,24))</f>
      </c>
    </row>
    <row r="13">
      <c r="C13" s="8"/>
      <c r="D13" s="7">
        <f>IF(OR(B13="",C13="Yes"),"",EDATE(B13,24))</f>
      </c>
    </row>
    <row r="14">
      <c r="C14" s="8"/>
      <c r="D14" s="7">
        <f>IF(OR(B14="",C14="Yes"),"",EDATE(B14,24))</f>
      </c>
    </row>
    <row r="15">
      <c r="C15" s="8"/>
      <c r="D15" s="7">
        <f>IF(OR(B15="",C15="Yes"),"",EDATE(B15,24))</f>
      </c>
    </row>
    <row r="16">
      <c r="C16" s="8"/>
      <c r="D16" s="7">
        <f>IF(OR(B16="",C16="Yes"),"",EDATE(B16,24))</f>
      </c>
    </row>
    <row r="17">
      <c r="C17" s="8"/>
      <c r="D17" s="7">
        <f>IF(OR(B17="",C17="Yes"),"",EDATE(B17,24))</f>
      </c>
    </row>
    <row r="18">
      <c r="C18" s="8"/>
      <c r="D18" s="7">
        <f>IF(OR(B18="",C18="Yes"),"",EDATE(B18,24))</f>
      </c>
    </row>
    <row r="19">
      <c r="C19" s="8"/>
      <c r="D19" s="7">
        <f>IF(OR(B19="",C19="Yes"),"",EDATE(B19,24))</f>
      </c>
    </row>
    <row r="20">
      <c r="C20" s="8"/>
      <c r="D20" s="7">
        <f>IF(OR(B20="",C20="Yes"),"",EDATE(B20,24))</f>
      </c>
    </row>
    <row r="21">
      <c r="C21" s="8"/>
      <c r="D21" s="7">
        <f>IF(OR(B21="",C21="Yes"),"",EDATE(B21,24))</f>
      </c>
    </row>
    <row r="22">
      <c r="C22" s="8"/>
      <c r="D22" s="7">
        <f>IF(OR(B22="",C22="Yes"),"",EDATE(B22,24))</f>
      </c>
    </row>
    <row r="23">
      <c r="C23" s="8"/>
      <c r="D23" s="7">
        <f>IF(OR(B23="",C23="Yes"),"",EDATE(B23,24))</f>
      </c>
    </row>
    <row r="24">
      <c r="C24" s="8"/>
      <c r="D24" s="7">
        <f>IF(OR(B24="",C24="Yes"),"",EDATE(B24,24))</f>
      </c>
    </row>
    <row r="25">
      <c r="C25" s="8"/>
      <c r="D25" s="7">
        <f>IF(OR(B25="",C25="Yes"),"",EDATE(B25,24))</f>
      </c>
    </row>
  </sheetData>
  <mergeCells count="2">
    <mergeCell ref="A1:C1"/>
    <mergeCell ref="A2:D2"/>
  </mergeCells>
  <conditionalFormatting sqref="D5:D25">
    <cfRule type="expression" dxfId="0" priority="1">
      <formula>AND(D5&lt;&gt;"",D5&lt;TODAY())</formula>
    </cfRule>
    <cfRule type="expression" dxfId="1" priority="2">
      <formula>AND(D5&lt;&gt;"",D5&lt;TODAY()+90)</formula>
    </cfRule>
    <cfRule type="expression" dxfId="2" priority="3">
      <formula>AND(D5&lt;&gt;"",D5&gt;=TODAY()+90)</formula>
    </cfRule>
  </conditionalFormatting>
  <pageMargins left="0.4" right="0.4" top="0.5" bottom="0.5" header="0.3" footer="0.3"/>
  <pageSetup paperSize="9" orientation="portrait" fitToWidth="1" fitToHeight="0"/>
</worksheet>
</file>

<file path=xl/worksheets/sheet6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30" customWidth="1"/>
    <col min="2" max="2" width="14" customWidth="1"/>
    <col min="3" max="3" width="20" customWidth="1"/>
    <col min="4" max="4" width="14" customWidth="1"/>
  </cols>
  <sheetData>
    <row r="1" ht="24" customHeight="1">
      <c r="A1" s="1" t="inlineStr">
        <is>
          <t>Governance clocks</t>
        </is>
      </c>
    </row>
    <row r="2">
      <c r="A2" s="2" t="inlineStr">
        <is>
          <t>The documents every home must keep under review. Type the date each was last reviewed; the next-due date computes itself. Below: the two visit clocks inspectors always check.</t>
        </is>
      </c>
    </row>
    <row r="3"/>
    <row r="4" ht="30" customHeight="1">
      <c r="A4" s="3" t="inlineStr">
        <is>
          <t>Document</t>
        </is>
      </c>
      <c r="B4" s="3" t="inlineStr">
        <is>
          <t>Last reviewed</t>
        </is>
      </c>
      <c r="C4" s="3" t="inlineStr">
        <is>
          <t>Review every (months)</t>
        </is>
      </c>
      <c r="D4" s="3" t="inlineStr">
        <is>
          <t>Next due</t>
        </is>
      </c>
    </row>
    <row r="5">
      <c r="A5" t="inlineStr">
        <is>
          <t>Statement of purpose</t>
        </is>
      </c>
      <c r="C5" s="8">
        <v>12</v>
      </c>
      <c r="D5" s="7">
        <f>IF(B5="","",EDATE(B5,C5))</f>
      </c>
    </row>
    <row r="6">
      <c r="A6" t="inlineStr">
        <is>
          <t>Location risk assessment</t>
        </is>
      </c>
      <c r="C6" s="8">
        <v>12</v>
      </c>
      <c r="D6" s="7">
        <f>IF(B6="","",EDATE(B6,C6))</f>
      </c>
    </row>
    <row r="7">
      <c r="A7" t="inlineStr">
        <is>
          <t>Safeguarding policy</t>
        </is>
      </c>
      <c r="C7" s="8">
        <v>12</v>
      </c>
      <c r="D7" s="7">
        <f>IF(B7="","",EDATE(B7,C7))</f>
      </c>
    </row>
    <row r="8">
      <c r="A8" t="inlineStr">
        <is>
          <t>Behaviour support policy</t>
        </is>
      </c>
      <c r="C8" s="8">
        <v>12</v>
      </c>
      <c r="D8" s="7">
        <f>IF(B8="","",EDATE(B8,C8))</f>
      </c>
    </row>
    <row r="9">
      <c r="A9" t="inlineStr">
        <is>
          <t>Missing child policy</t>
        </is>
      </c>
      <c r="C9" s="8">
        <v>12</v>
      </c>
      <c r="D9" s="7">
        <f>IF(B9="","",EDATE(B9,C9))</f>
      </c>
    </row>
    <row r="10">
      <c r="A10" t="inlineStr">
        <is>
          <t>Complaints policy</t>
        </is>
      </c>
      <c r="C10" s="8">
        <v>12</v>
      </c>
      <c r="D10" s="7">
        <f>IF(B10="","",EDATE(B10,C10))</f>
      </c>
    </row>
    <row r="11">
      <c r="A11" t="inlineStr">
        <is>
          <t>Lone working assessment</t>
        </is>
      </c>
      <c r="C11" s="8">
        <v>12</v>
      </c>
      <c r="D11" s="7">
        <f>IF(B11="","",EDATE(B11,C11))</f>
      </c>
    </row>
    <row r="12">
      <c r="A12" t="inlineStr">
        <is>
          <t>Workforce plan</t>
        </is>
      </c>
      <c r="C12" s="8">
        <v>12</v>
      </c>
      <c r="D12" s="7">
        <f>IF(B12="","",EDATE(B12,C12))</f>
      </c>
    </row>
    <row r="13"/>
    <row r="14">
      <c r="A14" s="6" t="inlineStr">
        <is>
          <t>The two visit clocks</t>
        </is>
      </c>
    </row>
    <row r="15">
      <c r="A15" s="3" t="inlineStr">
        <is>
          <t>Month</t>
        </is>
      </c>
      <c r="B15" s="3" t="inlineStr">
        <is>
          <t>Reg 44 visit date</t>
        </is>
      </c>
      <c r="C15" s="3" t="inlineStr">
        <is>
          <t>Report received</t>
        </is>
      </c>
      <c r="D15" s="3" t="inlineStr">
        <is>
          <t>Actions all closed?</t>
        </is>
      </c>
    </row>
    <row r="16">
      <c r="A16" t="inlineStr">
        <is>
          <t>January</t>
        </is>
      </c>
    </row>
    <row r="17">
      <c r="A17" t="inlineStr">
        <is>
          <t>February</t>
        </is>
      </c>
    </row>
    <row r="18">
      <c r="A18" t="inlineStr">
        <is>
          <t>March</t>
        </is>
      </c>
    </row>
    <row r="19">
      <c r="A19" t="inlineStr">
        <is>
          <t>April</t>
        </is>
      </c>
    </row>
    <row r="20">
      <c r="A20" t="inlineStr">
        <is>
          <t>May</t>
        </is>
      </c>
    </row>
    <row r="21">
      <c r="A21" t="inlineStr">
        <is>
          <t>June</t>
        </is>
      </c>
    </row>
    <row r="22">
      <c r="A22" t="inlineStr">
        <is>
          <t>July</t>
        </is>
      </c>
    </row>
    <row r="23">
      <c r="A23" t="inlineStr">
        <is>
          <t>August</t>
        </is>
      </c>
    </row>
    <row r="24">
      <c r="A24" t="inlineStr">
        <is>
          <t>September</t>
        </is>
      </c>
    </row>
    <row r="25">
      <c r="A25" t="inlineStr">
        <is>
          <t>October</t>
        </is>
      </c>
    </row>
    <row r="26">
      <c r="A26" t="inlineStr">
        <is>
          <t>November</t>
        </is>
      </c>
    </row>
    <row r="27">
      <c r="A27" t="inlineStr">
        <is>
          <t>December</t>
        </is>
      </c>
    </row>
    <row r="28"/>
    <row r="29">
      <c r="A29" s="4" t="inlineStr">
        <is>
          <t>Reg 45 quality of care review: due every six months, sent to Ofsted within 28 days of completing it.</t>
        </is>
      </c>
    </row>
  </sheetData>
  <mergeCells count="2">
    <mergeCell ref="A1:C1"/>
    <mergeCell ref="A2:D2"/>
  </mergeCells>
  <conditionalFormatting sqref="D5:D12">
    <cfRule type="expression" dxfId="0" priority="1">
      <formula>AND(D5&lt;&gt;"",D5&lt;TODAY())</formula>
    </cfRule>
    <cfRule type="expression" dxfId="1" priority="2">
      <formula>AND(D5&lt;&gt;"",D5&lt;TODAY()+60)</formula>
    </cfRule>
    <cfRule type="expression" dxfId="2" priority="3">
      <formula>AND(D5&lt;&gt;"",D5&gt;=TODAY()+60)</formula>
    </cfRule>
  </conditionalFormatting>
  <pageMargins left="0.4" right="0.4" top="0.5" bottom="0.5" header="0.3" footer="0.3"/>
  <pageSetup paperSize="9" orientation="portrait" fitToWidth="1" fitToHeight="0"/>
</worksheet>
</file>

<file path=xl/worksheets/sheet7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42" customWidth="1"/>
    <col min="2" max="2" width="48" customWidth="1"/>
    <col min="3" max="3" width="12" customWidth="1"/>
    <col min="4" max="4" width="13" customWidth="1"/>
    <col min="5" max="5" width="26" customWidth="1"/>
  </cols>
  <sheetData>
    <row r="1" ht="24" customHeight="1">
      <c r="A1" s="1" t="inlineStr">
        <is>
          <t>The staff file, Schedule 2</t>
        </is>
      </c>
    </row>
    <row r="2">
      <c r="A2" s="2" t="inlineStr">
        <is>
          <t>One sheet per person: duplicate this tab and name it after them. An inspector reads a file against exactly this list.</t>
        </is>
      </c>
    </row>
    <row r="3"/>
    <row r="4" ht="30" customHeight="1">
      <c r="A4" s="3" t="inlineStr">
        <is>
          <t>What the file must hold</t>
        </is>
      </c>
      <c r="B4" s="3" t="inlineStr">
        <is>
          <t>What satisfies it</t>
        </is>
      </c>
      <c r="C4" s="3" t="inlineStr">
        <is>
          <t>In the file?</t>
        </is>
      </c>
      <c r="D4" s="3" t="inlineStr">
        <is>
          <t>Date checked</t>
        </is>
      </c>
      <c r="E4" s="3" t="inlineStr">
        <is>
          <t>Notes</t>
        </is>
      </c>
    </row>
    <row r="5">
      <c r="A5" t="inlineStr">
        <is>
          <t>Proof of identity, with a recent photograph</t>
        </is>
      </c>
      <c r="B5" t="inlineStr">
        <is>
          <t>Passport or licence plus a dated photo, copies in the file</t>
        </is>
      </c>
    </row>
    <row r="6">
      <c r="A6" s="9" t="inlineStr">
        <is>
          <t>Enhanced DBS with children's barred list check</t>
        </is>
      </c>
      <c r="B6" s="9" t="inlineStr">
        <is>
          <t>Certificate number and date recorded; never the disclosure content</t>
        </is>
      </c>
      <c r="C6" s="9"/>
      <c r="D6" s="9"/>
      <c r="E6" s="9"/>
    </row>
    <row r="7">
      <c r="A7" t="inlineStr">
        <is>
          <t>Two written references, one from the most recent employer</t>
        </is>
      </c>
      <c r="B7" t="inlineStr">
        <is>
          <t>On file, checked by phone, with a note of the call</t>
        </is>
      </c>
    </row>
    <row r="8">
      <c r="A8" s="9" t="inlineStr">
        <is>
          <t>Why previous work with children or vulnerable adults ended</t>
        </is>
      </c>
      <c r="B8" s="9" t="inlineStr">
        <is>
          <t>Checked as far as practicable, in writing</t>
        </is>
      </c>
      <c r="C8" s="9"/>
      <c r="D8" s="9"/>
      <c r="E8" s="9"/>
    </row>
    <row r="9">
      <c r="A9" t="inlineStr">
        <is>
          <t>Documentary evidence of qualifications</t>
        </is>
      </c>
      <c r="B9" t="inlineStr">
        <is>
          <t>The certificates themselves, not a CV line</t>
        </is>
      </c>
    </row>
    <row r="10">
      <c r="A10" s="9" t="inlineStr">
        <is>
          <t>Full employment history with every gap explained in writing</t>
        </is>
      </c>
      <c r="B10" s="9" t="inlineStr">
        <is>
          <t>Use the Employment gaps tab; anything over a month needs a sentence</t>
        </is>
      </c>
      <c r="C10" s="9"/>
      <c r="D10" s="9"/>
      <c r="E10" s="9"/>
    </row>
    <row r="11">
      <c r="A11" t="inlineStr">
        <is>
          <t>Right to work in the UK</t>
        </is>
      </c>
      <c r="B11" t="inlineStr">
        <is>
          <t>Evidence checked and copied before day one</t>
        </is>
      </c>
    </row>
    <row r="12">
      <c r="A12" s="9" t="inlineStr">
        <is>
          <t>Health: fit for the role</t>
        </is>
      </c>
      <c r="B12" s="9" t="inlineStr">
        <is>
          <t>Assessment date recorded; the assessment itself stays with occupational health</t>
        </is>
      </c>
      <c r="C12" s="9"/>
      <c r="D12" s="9"/>
      <c r="E12" s="9"/>
    </row>
    <row r="13">
      <c r="A13" t="inlineStr">
        <is>
          <t>Interview record</t>
        </is>
      </c>
      <c r="B13" t="inlineStr">
        <is>
          <t>Who interviewed, when, and the judgment reached</t>
        </is>
      </c>
    </row>
    <row r="14">
      <c r="A14" s="9" t="inlineStr">
        <is>
          <t>DBS Update Service status, if subscribed</t>
        </is>
      </c>
      <c r="B14" s="9" t="inlineStr">
        <is>
          <t>Consent noted and the date of the last status check</t>
        </is>
      </c>
      <c r="C14" s="9"/>
      <c r="D14" s="9"/>
      <c r="E14" s="9"/>
    </row>
  </sheetData>
  <mergeCells count="2">
    <mergeCell ref="A1:C1"/>
    <mergeCell ref="A2:E2"/>
  </mergeCells>
  <pageMargins left="0.4" right="0.4" top="0.5" bottom="0.5" header="0.3" footer="0.3"/>
  <pageSetup paperSize="9" orientation="landscape" fitToWidth="1" fitToHeight="0"/>
</worksheet>
</file>

<file path=xl/worksheets/sheet8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16" customWidth="1"/>
    <col min="2" max="2" width="16" customWidth="1"/>
    <col min="3" max="3" width="36" customWidth="1"/>
    <col min="4" max="4" width="24" customWidth="1"/>
    <col min="5" max="5" width="26" customWidth="1"/>
    <col min="6" max="6" width="10" customWidth="1"/>
  </cols>
  <sheetData>
    <row r="1" ht="24" customHeight="1">
      <c r="A1" s="1" t="inlineStr">
        <is>
          <t>Employment history, gaps explained</t>
        </is>
      </c>
    </row>
    <row r="2">
      <c r="A2" s="2" t="inlineStr">
        <is>
          <t>Work backwards from their current job. The most common file failure is a gap with no written explanation. "Travelling" written down is a pass. Silence is a finding.</t>
        </is>
      </c>
    </row>
    <row r="3"/>
    <row r="4" ht="30" customHeight="1">
      <c r="A4" s="3" t="inlineStr">
        <is>
          <t>From (month/year)</t>
        </is>
      </c>
      <c r="B4" s="3" t="inlineStr">
        <is>
          <t>To (month/year)</t>
        </is>
      </c>
      <c r="C4" s="3" t="inlineStr">
        <is>
          <t>Employer, course, or what the gap was</t>
        </is>
      </c>
      <c r="D4" s="3" t="inlineStr">
        <is>
          <t>Role</t>
        </is>
      </c>
      <c r="E4" s="3" t="inlineStr">
        <is>
          <t>Reason for leaving</t>
        </is>
      </c>
      <c r="F4" s="3" t="inlineStr">
        <is>
          <t>Checked?</t>
        </is>
      </c>
    </row>
    <row r="5"/>
    <row r="6">
      <c r="A6" s="9"/>
      <c r="B6" s="9"/>
      <c r="C6" s="9"/>
      <c r="D6" s="9"/>
      <c r="E6" s="9"/>
      <c r="F6" s="9"/>
    </row>
    <row r="7"/>
    <row r="8">
      <c r="A8" s="9"/>
      <c r="B8" s="9"/>
      <c r="C8" s="9"/>
      <c r="D8" s="9"/>
      <c r="E8" s="9"/>
      <c r="F8" s="9"/>
    </row>
    <row r="9"/>
    <row r="10">
      <c r="A10" s="9"/>
      <c r="B10" s="9"/>
      <c r="C10" s="9"/>
      <c r="D10" s="9"/>
      <c r="E10" s="9"/>
      <c r="F10" s="9"/>
    </row>
    <row r="11"/>
    <row r="12">
      <c r="A12" s="9"/>
      <c r="B12" s="9"/>
      <c r="C12" s="9"/>
      <c r="D12" s="9"/>
      <c r="E12" s="9"/>
      <c r="F12" s="9"/>
    </row>
    <row r="13"/>
    <row r="14">
      <c r="A14" s="9"/>
      <c r="B14" s="9"/>
      <c r="C14" s="9"/>
      <c r="D14" s="9"/>
      <c r="E14" s="9"/>
      <c r="F14" s="9"/>
    </row>
    <row r="15"/>
    <row r="16">
      <c r="A16" s="9"/>
      <c r="B16" s="9"/>
      <c r="C16" s="9"/>
      <c r="D16" s="9"/>
      <c r="E16" s="9"/>
      <c r="F16" s="9"/>
    </row>
    <row r="17"/>
    <row r="18">
      <c r="A18" s="9"/>
      <c r="B18" s="9"/>
      <c r="C18" s="9"/>
      <c r="D18" s="9"/>
      <c r="E18" s="9"/>
      <c r="F18" s="9"/>
    </row>
    <row r="19"/>
  </sheetData>
  <mergeCells count="2">
    <mergeCell ref="A1:C1"/>
    <mergeCell ref="A2:F2"/>
  </mergeCells>
  <pageMargins left="0.4" right="0.4" top="0.5" bottom="0.5" header="0.3" footer="0.3"/>
  <pageSetup paperSize="9" orientation="landscape" fitToWidth="1" fitToHeight="0"/>
</worksheet>
</file>

<file path=xl/worksheets/sheet9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46" customWidth="1"/>
    <col min="2" max="2" width="30" customWidth="1"/>
    <col min="3" max="3" width="20" customWidth="1"/>
    <col min="4" max="4" width="40" customWidth="1"/>
  </cols>
  <sheetData>
    <row r="1" ht="24" customHeight="1">
      <c r="A1" s="1" t="inlineStr">
        <is>
          <t>The inspector's opening list</t>
        </is>
      </c>
    </row>
    <row r="2">
      <c r="A2" s="2" t="inlineStr">
        <is>
          <t>The eleven staff-side things every full inspection asks for. Grade yourself honestly before Ofsted does it for you.</t>
        </is>
      </c>
    </row>
    <row r="3"/>
    <row r="4" ht="30" customHeight="1">
      <c r="A4" s="3" t="inlineStr">
        <is>
          <t>The inspector asks for</t>
        </is>
      </c>
      <c r="B4" s="3" t="inlineStr">
        <is>
          <t>Where yours lives today</t>
        </is>
      </c>
      <c r="C4" s="3" t="inlineStr">
        <is>
          <t>Ready / Question / Gap</t>
        </is>
      </c>
      <c r="D4" s="3" t="inlineStr">
        <is>
          <t>What would make it Ready</t>
        </is>
      </c>
    </row>
    <row r="5">
      <c r="A5" t="inlineStr">
        <is>
          <t>Statement of purpose, current and reviewed</t>
        </is>
      </c>
    </row>
    <row r="6">
      <c r="A6" s="9" t="inlineStr">
        <is>
          <t>Staff list with qualifications and planned qualification updates</t>
        </is>
      </c>
      <c r="B6" s="9"/>
      <c r="C6" s="9"/>
      <c r="D6" s="9"/>
    </row>
    <row r="7">
      <c r="A7" t="inlineStr">
        <is>
          <t>Recruitment and vetting records, complete for every person</t>
        </is>
      </c>
    </row>
    <row r="8">
      <c r="A8" s="9" t="inlineStr">
        <is>
          <t>Training records, mandatory courses in date</t>
        </is>
      </c>
      <c r="B8" s="9"/>
      <c r="C8" s="9"/>
      <c r="D8" s="9"/>
    </row>
    <row r="9">
      <c r="A9" t="inlineStr">
        <is>
          <t>Supervision records, everyone in cycle including the manager</t>
        </is>
      </c>
    </row>
    <row r="10">
      <c r="A10" s="9" t="inlineStr">
        <is>
          <t>Staffing rotas, planned and as actually worked</t>
        </is>
      </c>
      <c r="B10" s="9"/>
      <c r="C10" s="9"/>
      <c r="D10" s="9"/>
    </row>
    <row r="11">
      <c r="A11" t="inlineStr">
        <is>
          <t>Allegations records, held securely with timescales evidenced</t>
        </is>
      </c>
    </row>
    <row r="12">
      <c r="A12" s="9" t="inlineStr">
        <is>
          <t>Reports of monthly regulation 44 visits</t>
        </is>
      </c>
      <c r="B12" s="9"/>
      <c r="C12" s="9"/>
      <c r="D12" s="9"/>
    </row>
    <row r="13">
      <c r="A13" t="inlineStr">
        <is>
          <t>Regulation 45 quality of care report, within six months</t>
        </is>
      </c>
    </row>
    <row r="14">
      <c r="A14" s="9" t="inlineStr">
        <is>
          <t>Notifications made to Ofsted, with who else was told</t>
        </is>
      </c>
      <c r="B14" s="9"/>
      <c r="C14" s="9"/>
      <c r="D14" s="9"/>
    </row>
    <row r="15">
      <c r="A15" t="inlineStr">
        <is>
          <t>Location assessment, reviewed within the year</t>
        </is>
      </c>
    </row>
    <row r="16"/>
    <row r="17">
      <c r="A17" s="4" t="inlineStr">
        <is>
          <t>Free from Staffbook (staffbook.co.uk). Keep it, copy it, share it with another home.</t>
        </is>
      </c>
    </row>
  </sheetData>
  <mergeCells count="2">
    <mergeCell ref="A1:C1"/>
    <mergeCell ref="A2:D2"/>
  </mergeCells>
  <pageMargins left="0.4" right="0.4" top="0.5" bottom="0.5" header="0.3" footer="0.3"/>
  <pageSetup paperSize="9" orientation="landscape" fitToWidth="1" fitToHeight="0"/>
</worksheet>
</file>