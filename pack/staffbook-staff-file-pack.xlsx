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Start here" sheetId="1" r:id="rId1"/>
    <sheet name="Annex A staffing" sheetId="2" r:id="rId2"/>
    <sheet name="Staff list" sheetId="3" r:id="rId3"/>
    <sheet name="Agency shifts" sheetId="4" r:id="rId4"/>
    <sheet name="Training matrix" sheetId="5" r:id="rId5"/>
    <sheet name="Supervision tracker" sheetId="6" r:id="rId6"/>
    <sheet name="DBS re-check log" sheetId="7" r:id="rId7"/>
    <sheet name="Governance clocks" sheetId="8" r:id="rId8"/>
    <sheet name="Staff file checklist" sheetId="9" r:id="rId9"/>
    <sheet name="Employment gaps" sheetId="10" r:id="rId10"/>
    <sheet name="Inspection self-audit" sheetId="11" r:id="rId11"/>
  </sheets>
  <definedNames>
    <definedName name="_xlnm.Print_Titles" localSheetId="1">'Annex A staffing'!$16:$16</definedName>
    <definedName name="_xlnm.Print_Titles" localSheetId="2">'Staff list'!$4:$4</definedName>
    <definedName name="_xlnm.Print_Titles" localSheetId="3">'Agency shifts'!$4:$4</definedName>
    <definedName name="_xlnm.Print_Titles" localSheetId="4">'Training matrix'!$4:$5</definedName>
    <definedName name="_xlnm.Print_Titles" localSheetId="5">'Supervision tracker'!$4:$4</definedName>
    <definedName name="_xlnm.Print_Titles" localSheetId="6">'DBS re-check log'!$4:$4</definedName>
    <definedName name="_xlnm.Print_Titles" localSheetId="7">'Governance clocks'!$4:$4</definedName>
    <definedName name="_xlnm.Print_Titles" localSheetId="8">'Staff file checklist'!$4:$4</definedName>
    <definedName name="_xlnm.Print_Titles" localSheetId="9">'Employment gaps'!$4:$4</definedName>
    <definedName name="_xlnm.Print_Titles" localSheetId="10">'Inspection self-audit'!$4:$4</definedName>
  </definedNames>
  <calcPr calcId="191029" fullCalcOnLoad="1"/>
</workbook>
</file>

<file path=xl/styles.xml><?xml version="1.0" encoding="utf-8"?>
<styleSheet xmlns="http://schemas.openxmlformats.org/spreadsheetml/2006/main">
  <numFmts count="2">
    <numFmt numFmtId="164" formatCode="dd/mm/yyyy"/>
    <numFmt numFmtId="165" formatCode="&quot;£&quot;#,##0.00"/>
  </numFmts>
  <fonts count="6">
    <font>
      <sz val="11"/>
      <name val="Calibri"/>
    </font>
    <font>
      <b/>
      <sz val="16"/>
      <name val="Calibri"/>
    </font>
    <font>
      <sz val="10"/>
      <color rgb="FF6B7280"/>
      <name val="Calibri"/>
    </font>
    <font>
      <b/>
      <sz val="11"/>
      <name val="Calibri"/>
    </font>
    <font>
      <b/>
      <sz val="11"/>
      <color rgb="FFFFFFFF"/>
      <name val="Calibri"/>
    </font>
    <font>
      <sz val="11"/>
      <color rgb="FF9CA3AF"/>
      <name val="Calibri"/>
    </font>
  </fonts>
  <fills count="4">
    <fill>
      <patternFill patternType="none"/>
    </fill>
    <fill>
      <patternFill patternType="gray125"/>
    </fill>
    <fill>
      <patternFill patternType="solid">
        <fgColor rgb="FF0D5C45"/>
      </patternFill>
    </fill>
    <fill>
      <patternFill patternType="solid">
        <fgColor rgb="FFEFF4EE"/>
      </patternFill>
    </fill>
  </fills>
  <borders count="2">
    <border>
      <left/>
      <right/>
      <top/>
      <bottom/>
      <diagonal/>
    </border>
    <border>
      <left style="thin">
        <color rgb="FFD5D2C4"/>
      </left>
      <right style="thin">
        <color rgb="FFD5D2C4"/>
      </right>
      <top style="thin">
        <color rgb="FFD5D2C4"/>
      </top>
      <bottom style="thin">
        <color rgb="FFD5D2C4"/>
      </bottom>
      <diagonal/>
    </border>
  </borders>
  <cellStyleXfs count="1">
    <xf numFmtId="0" fontId="0" fillId="0" borderId="0"/>
  </cellStyleXfs>
  <cellXfs count="18">
    <xf numFmtId="0" fontId="0" fillId="0" borderId="0"/>
    <xf numFmtId="0" fontId="1" fillId="0" borderId="0" applyFont="1"/>
    <xf numFmtId="0" fontId="2" fillId="0" borderId="0" applyFont="1"/>
    <xf numFmtId="0" fontId="3" fillId="0" borderId="0" applyFont="1"/>
    <xf numFmtId="0" fontId="4" fillId="2" borderId="1" applyFont="1" applyFill="1" applyBorder="1" applyAlignment="1">
      <alignment vertical="center" wrapText="1"/>
    </xf>
    <xf numFmtId="0" fontId="0" fillId="0" borderId="1" applyFont="1" applyBorder="1" applyAlignment="1">
      <alignment wrapText="1"/>
    </xf>
    <xf numFmtId="0" fontId="0" fillId="0" borderId="1" applyFont="1" applyBorder="1"/>
    <xf numFmtId="0" fontId="5" fillId="0" borderId="0" applyFont="1"/>
    <xf numFmtId="0" fontId="2" fillId="0" borderId="0" applyFont="1" applyAlignment="1">
      <alignment wrapText="1"/>
    </xf>
    <xf numFmtId="0" fontId="0" fillId="0" borderId="1" applyFont="1" applyBorder="1" applyAlignment="1">
      <alignment horizontal="center"/>
    </xf>
    <xf numFmtId="0" fontId="5" fillId="0" borderId="1" applyFont="1" applyBorder="1"/>
    <xf numFmtId="164" fontId="0" fillId="3" borderId="1" applyNumberFormat="1" applyFont="1" applyFill="1" applyBorder="1" applyAlignment="1">
      <alignment horizontal="center"/>
    </xf>
    <xf numFmtId="0" fontId="0" fillId="3" borderId="1" applyFont="1" applyFill="1" applyBorder="1" applyAlignment="1">
      <alignment horizontal="center"/>
    </xf>
    <xf numFmtId="0" fontId="5" fillId="0" borderId="1" applyFont="1" applyBorder="1" applyAlignment="1">
      <alignment wrapText="1"/>
    </xf>
    <xf numFmtId="0" fontId="3" fillId="0" borderId="1" applyFont="1" applyBorder="1"/>
    <xf numFmtId="0" fontId="5" fillId="0" borderId="0" applyFont="1" applyAlignment="1">
      <alignment wrapText="1"/>
    </xf>
    <xf numFmtId="164" fontId="0" fillId="0" borderId="1" applyNumberFormat="1" applyFont="1" applyBorder="1" applyAlignment="1">
      <alignment horizontal="center"/>
    </xf>
    <xf numFmtId="0" fontId="4" fillId="2" borderId="1" applyFont="1" applyFill="1" applyBorder="1" applyAlignment="1">
      <alignment horizontal="center" vertical="center" wrapText="1"/>
    </xf>
  </cellXfs>
  <cellStyles count="1">
    <cellStyle name="Normal" xfId="0" builtinId="0"/>
  </cellStyles>
  <dxfs count="3">
    <dxf>
      <font>
        <color rgb="FF9C0006"/>
      </font>
      <fill>
        <patternFill>
          <bgColor rgb="FFFFC7CE"/>
        </patternFill>
      </fill>
    </dxf>
    <dxf>
      <font>
        <color rgb="FF9C6500"/>
      </font>
      <fill>
        <patternFill>
          <bgColor rgb="FFFFEB9C"/>
        </patternFill>
      </fill>
    </dxf>
    <dxf>
      <font>
        <color rgb="FF006100"/>
      </font>
      <fill>
        <patternFill>
          <bgColor rgb="FFC6EFCE"/>
        </patternFill>
      </fill>
    </dxf>
  </d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styles" Target="styles.xml"/></Relationships>
</file>

<file path=xl/worksheets/sheet1.xml><?xml version="1.0" encoding="utf-8"?>
<worksheet xmlns="http://schemas.openxmlformats.org/spreadsheetml/2006/main">
  <sheetPr>
    <tabColor rgb="FF0D5C45"/>
    <pageSetUpPr fitToPage="1"/>
  </sheetPr>
  <sheetViews>
    <sheetView showGridLines="0" workbookViewId="0"/>
  </sheetViews>
  <sheetFormatPr defaultRowHeight="15"/>
  <cols>
    <col min="1" max="1" width="24" customWidth="1"/>
    <col min="2" max="2" width="100" customWidth="1"/>
  </cols>
  <sheetData>
    <row r="1" ht="24" customHeight="1">
      <c r="A1" s="1" t="inlineStr">
        <is>
          <t>Start here</t>
        </is>
      </c>
    </row>
    <row r="2">
      <c r="A2" s="2" t="inlineStr">
        <is>
          <t>One minute, then you know the whole pack. Made by Staffbook. Free to keep, copy and share.</t>
        </is>
      </c>
    </row>
    <row r="3"/>
    <row r="4">
      <c r="A4" s="3" t="inlineStr">
        <is>
          <t>The rule for every tab: white cells are yours to type in. Tinted cells work themselves out.</t>
        </is>
      </c>
    </row>
    <row r="5"/>
    <row r="6" ht="32" customHeight="1">
      <c r="A6" s="4" t="inlineStr">
        <is>
          <t>Annex A staffing</t>
        </is>
      </c>
      <c r="B6" s="5" t="inlineStr">
        <is>
          <t>The staffing numbers Ofsted asks for on notice of a full inspection (Section 7 of Annex A, form of 1 April 2026), answered from your staff list and agency log under the form's own question numbers. Fill those two tabs and this one fills itself.</t>
        </is>
      </c>
    </row>
    <row r="7" ht="32" customHeight="1">
      <c r="A7" s="4" t="inlineStr">
        <is>
          <t>Staff list</t>
        </is>
      </c>
      <c r="B7" s="5" t="inlineStr">
        <is>
          <t>One row per person, leavers included. When they joined this home, when they first worked in care, contract, hours, level 3 dates, first aid. The regulation 32 status works itself out.</t>
        </is>
      </c>
    </row>
    <row r="8">
      <c r="A8" s="4" t="inlineStr">
        <is>
          <t>Agency shifts</t>
        </is>
      </c>
      <c r="B8" s="6" t="inlineStr">
        <is>
          <t>One line per agency shift. Ofsted counts the shifts and the different people; so does this.</t>
        </is>
      </c>
    </row>
    <row r="9" ht="32" customHeight="1">
      <c r="A9" s="4" t="inlineStr">
        <is>
          <t>Training matrix</t>
        </is>
      </c>
      <c r="B9" s="6" t="inlineStr">
        <is>
          <t>Type each person's name, then the date they did each course under "Done on". The tinted cell beside it fills in the expiry. In Excel and Google Sheets it also turns green, amber or red.</t>
        </is>
      </c>
    </row>
    <row r="10">
      <c r="A10" s="4" t="inlineStr">
        <is>
          <t>Supervision tracker</t>
        </is>
      </c>
      <c r="B10" s="6" t="inlineStr">
        <is>
          <t>Name, your cycle in days, date of the last supervision. It flags OVERDUE by itself. Put the manager on the list too.</t>
        </is>
      </c>
    </row>
    <row r="11" ht="32" customHeight="1">
      <c r="A11" s="4" t="inlineStr">
        <is>
          <t>DBS re-check log</t>
        </is>
      </c>
      <c r="B11" s="6" t="inlineStr">
        <is>
          <t>For staff on the Update Service: note each status check and it works out when the next one is due.</t>
        </is>
      </c>
    </row>
    <row r="12" ht="32" customHeight="1">
      <c r="A12" s="4" t="inlineStr">
        <is>
          <t>Governance clocks</t>
        </is>
      </c>
      <c r="B12" s="6" t="inlineStr">
        <is>
          <t>Date each document was last reviewed; next-due dates compute. The monthly visit grid lives here too.</t>
        </is>
      </c>
    </row>
    <row r="13" ht="32" customHeight="1">
      <c r="A13" s="4" t="inlineStr">
        <is>
          <t>Staff file checklist</t>
        </is>
      </c>
      <c r="B13" s="5" t="inlineStr">
        <is>
          <t>One copy of this tab per person: the six items Schedule 2 of the regulations requires, then the other checks the law or good practice adds, each labelled.</t>
        </is>
      </c>
    </row>
    <row r="14">
      <c r="A14" s="4" t="inlineStr">
        <is>
          <t>Employment gaps</t>
        </is>
      </c>
      <c r="B14" s="5" t="inlineStr">
        <is>
          <t>A full employment history with a satisfactory written explanation of every gap (Schedule 2, item 6). Work backwards from their current job.</t>
        </is>
      </c>
    </row>
    <row r="15">
      <c r="A15" s="4" t="inlineStr">
        <is>
          <t>Inspection self-audit</t>
        </is>
      </c>
      <c r="B15" s="5" t="inlineStr">
        <is>
          <t>Eleven staff-side records inspections ask to see, with the regulation behind each. Grade yourself honestly.</t>
        </is>
      </c>
    </row>
    <row r="16"/>
    <row r="17">
      <c r="A17" s="7" t="inlineStr">
        <is>
          <t>Each tab has an example row you can overtype or delete.</t>
        </is>
      </c>
    </row>
    <row r="18">
      <c r="A18" s="7" t="inlineStr">
        <is>
          <t>staffbook.co.uk</t>
        </is>
      </c>
    </row>
  </sheetData>
  <mergeCells count="5">
    <mergeCell ref="A1:B1"/>
    <mergeCell ref="A2:B2"/>
    <mergeCell ref="A4:B4"/>
    <mergeCell ref="A17:B17"/>
    <mergeCell ref="A18:B18"/>
  </mergeCells>
  <pageMargins left="0.4" right="0.4" top="0.5" bottom="0.5" header="0.3" footer="0.3"/>
  <pageSetup paperSize="9" orientation="portrait" fitToWidth="1" fitToHeight="0"/>
</worksheet>
</file>

<file path=xl/worksheets/sheet2.xml><?xml version="1.0" encoding="utf-8"?>
<worksheet xmlns="http://schemas.openxmlformats.org/spreadsheetml/2006/main">
  <sheetPr>
    <tabColor rgb="FF0D5C45"/>
    <pageSetUpPr fitToPage="1"/>
  </sheetPr>
  <sheetViews>
    <sheetView showGridLines="0" workbookViewId="0"/>
  </sheetViews>
  <sheetFormatPr defaultRowHeight="15"/>
  <cols>
    <col min="1" max="1" width="7" customWidth="1"/>
    <col min="2" max="2" width="64" customWidth="1"/>
    <col min="3" max="3" width="28" customWidth="1"/>
    <col min="4" max="4" width="44" customWidth="1"/>
  </cols>
  <sheetData>
    <row r="1" ht="24" customHeight="1">
      <c r="A1" s="1" t="inlineStr">
        <is>
          <t>Annex A, the staffing answers</t>
        </is>
      </c>
    </row>
    <row r="2" ht="44" customHeight="1">
      <c r="A2" s="8" t="inlineStr">
        <is>
          <t>Ofsted's request for information at a full inspection of a children's home, Section 7 (staffing), with the question numbers of the form updated 1 April 2026; the last five are asked elsewhere on the same form. Fill the Staff list and Agency shifts tabs and these answer themselves. Always check the wording against the copy Ofsted sends you.</t>
        </is>
      </c>
    </row>
    <row r="3"/>
    <row r="4" ht="22" customHeight="1">
      <c r="A4" s="4"/>
      <c r="B4" s="4" t="inlineStr">
        <is>
          <t>Your answers</t>
        </is>
      </c>
      <c r="C4" s="4"/>
      <c r="D4" s="4"/>
    </row>
    <row r="5">
      <c r="A5" s="6"/>
      <c r="B5" s="6" t="inlineStr">
        <is>
          <t>Date of the last full inspection</t>
        </is>
      </c>
      <c r="C5" s="9"/>
      <c r="D5" s="10" t="inlineStr">
        <is>
          <t>Everything "since the last full inspection" counts from this date</t>
        </is>
      </c>
    </row>
    <row r="6">
      <c r="A6" s="6"/>
      <c r="B6" s="6" t="inlineStr">
        <is>
          <t>Count as at (leave blank for today)</t>
        </is>
      </c>
      <c r="C6" s="9"/>
      <c r="D6" s="10" t="inlineStr">
        <is>
          <t>Nothing dated after this counts: no future shifts, starters or leavers</t>
        </is>
      </c>
    </row>
    <row r="7">
      <c r="A7" s="6"/>
      <c r="B7" s="6" t="inlineStr">
        <is>
          <t>Counting date in use (auto)</t>
        </is>
      </c>
      <c r="C7" s="11">
        <f>IF(C6="",TODAY(),C6)</f>
      </c>
      <c r="D7" s="6"/>
    </row>
    <row r="8">
      <c r="A8" s="6"/>
      <c r="B8" s="6" t="inlineStr">
        <is>
          <t>Care staff vacancies today (SV1)</t>
        </is>
      </c>
      <c r="C8" s="9"/>
      <c r="D8" s="6"/>
    </row>
    <row r="9">
      <c r="A9" s="6"/>
      <c r="B9" s="6" t="inlineStr">
        <is>
          <t>Registered manager holds the level 5 diploma or equivalent (28.1, Yes/No)</t>
        </is>
      </c>
      <c r="C9" s="9"/>
      <c r="D9" s="6"/>
    </row>
    <row r="10">
      <c r="A10" s="6"/>
      <c r="B10" s="6" t="inlineStr">
        <is>
          <t>Manager obtained level 5 within 3 years of starting a management position? If not, why (28.1a)</t>
        </is>
      </c>
      <c r="C10" s="9"/>
      <c r="D10" s="6"/>
    </row>
    <row r="11">
      <c r="A11" s="6"/>
      <c r="B11" s="6" t="inlineStr">
        <is>
          <t>Registered manager holds a level 4 diploma or equivalent (28.2, Yes/No)</t>
        </is>
      </c>
      <c r="C11" s="9"/>
      <c r="D11" s="6"/>
    </row>
    <row r="12">
      <c r="A12" s="6"/>
      <c r="B12" s="6" t="inlineStr">
        <is>
          <t>If both are No: the qualification held, or "post vacant" (28.3)</t>
        </is>
      </c>
      <c r="C12" s="9"/>
      <c r="D12" s="6"/>
    </row>
    <row r="13">
      <c r="A13" s="6"/>
      <c r="B13" s="6" t="inlineStr">
        <is>
          <t>Staff trained on children's healthcare needs since the last inspection (H3a, Yes/No)</t>
        </is>
      </c>
      <c r="C13" s="9"/>
      <c r="D13" s="6"/>
    </row>
    <row r="14">
      <c r="A14" s="6"/>
      <c r="B14" s="6" t="inlineStr">
        <is>
          <t>Details of that training (H3b)</t>
        </is>
      </c>
      <c r="C14" s="9"/>
      <c r="D14" s="6"/>
    </row>
    <row r="15"/>
    <row r="16" ht="30" customHeight="1">
      <c r="A16" s="4" t="inlineStr">
        <is>
          <t>Q</t>
        </is>
      </c>
      <c r="B16" s="4" t="inlineStr">
        <is>
          <t>The form asks</t>
        </is>
      </c>
      <c r="C16" s="4" t="inlineStr">
        <is>
          <t>Answer (auto)</t>
        </is>
      </c>
      <c r="D16" s="4" t="inlineStr">
        <is>
          <t>Where it comes from</t>
        </is>
      </c>
    </row>
    <row r="17" ht="30" customHeight="1">
      <c r="A17" s="9" t="inlineStr">
        <is>
          <t>28.1</t>
        </is>
      </c>
      <c r="B17" s="5" t="inlineStr">
        <is>
          <t>Does the registered manager hold the level 5 diploma or equivalent?</t>
        </is>
      </c>
      <c r="C17" s="12">
        <f>IF(C9="","",C9)</f>
      </c>
      <c r="D17" s="13" t="inlineStr">
        <is>
          <t>Your answer above</t>
        </is>
      </c>
    </row>
    <row r="18" ht="30" customHeight="1">
      <c r="A18" s="9" t="inlineStr">
        <is>
          <t>28.1a</t>
        </is>
      </c>
      <c r="B18" s="5" t="inlineStr">
        <is>
          <t>Has the manager obtained level 5 within the 3 years of starting a management position? If not, please explain why</t>
        </is>
      </c>
      <c r="C18" s="12">
        <f>IF(C10="","",C10)</f>
      </c>
      <c r="D18" s="13" t="inlineStr">
        <is>
          <t>Your answer above</t>
        </is>
      </c>
    </row>
    <row r="19" ht="30" customHeight="1">
      <c r="A19" s="9" t="inlineStr">
        <is>
          <t>28.2</t>
        </is>
      </c>
      <c r="B19" s="5" t="inlineStr">
        <is>
          <t>Does the registered manager hold a level 4 diploma or equivalent?</t>
        </is>
      </c>
      <c r="C19" s="12">
        <f>IF(C11="","",C11)</f>
      </c>
      <c r="D19" s="13" t="inlineStr">
        <is>
          <t>Your answer above</t>
        </is>
      </c>
    </row>
    <row r="20" ht="30" customHeight="1">
      <c r="A20" s="9" t="inlineStr">
        <is>
          <t>28.3</t>
        </is>
      </c>
      <c r="B20" s="5" t="inlineStr">
        <is>
          <t>If the answer to both 28.1 and 28.2 is no, the qualification held by the registered manager, or "post vacant"</t>
        </is>
      </c>
      <c r="C20" s="12">
        <f>IF(C12="","",C12)</f>
      </c>
      <c r="D20" s="13" t="inlineStr">
        <is>
          <t>Your answer above</t>
        </is>
      </c>
    </row>
    <row r="21" ht="30" customHeight="1">
      <c r="A21" s="9" t="inlineStr">
        <is>
          <t>29</t>
        </is>
      </c>
      <c r="B21" s="5" t="inlineStr">
        <is>
          <t>Number of new staff in a care role since the last full inspection</t>
        </is>
      </c>
      <c r="C21" s="12">
        <f>IF('Annex A staffing'!$C$5="","",COUNTIFS('Staff list'!$B$6:$B$45,"Yes",'Staff list'!$E$6:$E$45,"&gt;"&amp;'Annex A staffing'!$C$5,'Staff list'!$E$6:$E$45,"&lt;="&amp;'Annex A staffing'!$C$7))</f>
      </c>
      <c r="D21" s="13" t="inlineStr">
        <is>
          <t>Staff list: care role, started at this home after the inspection, by the counting date</t>
        </is>
      </c>
    </row>
    <row r="22" ht="30" customHeight="1">
      <c r="A22" s="9" t="inlineStr">
        <is>
          <t>30</t>
        </is>
      </c>
      <c r="B22" s="5" t="inlineStr">
        <is>
          <t>Number of staff in a care role who have left since the last full inspection</t>
        </is>
      </c>
      <c r="C22" s="12">
        <f>IF('Annex A staffing'!$C$5="","",COUNTIFS('Staff list'!$B$6:$B$45,"Yes",'Staff list'!$G$6:$G$45,"&gt;"&amp;'Annex A staffing'!$C$5,'Staff list'!$G$6:$G$45,"&lt;="&amp;'Annex A staffing'!$C$7))</f>
      </c>
      <c r="D22" s="13" t="inlineStr">
        <is>
          <t>Staff list: care role, left after the inspection, by the counting date</t>
        </is>
      </c>
    </row>
    <row r="23" ht="30" customHeight="1">
      <c r="A23" s="9" t="inlineStr">
        <is>
          <t>30.1</t>
        </is>
      </c>
      <c r="B23" s="5" t="inlineStr">
        <is>
          <t>How many times have agency or other non-permanent staff been used in a care role since the full inspection?</t>
        </is>
      </c>
      <c r="C23" s="12">
        <f>IF('Annex A staffing'!$C$5="","",COUNTIFS('Agency shifts'!$A$6:$A$205,"&gt;"&amp;'Annex A staffing'!$C$5,'Agency shifts'!$A$6:$A$205,"&lt;="&amp;'Annex A staffing'!$C$7))</f>
      </c>
      <c r="D23" s="13" t="inlineStr">
        <is>
          <t>Agency shifts: lines dated after the inspection, by the counting date</t>
        </is>
      </c>
    </row>
    <row r="24" ht="30" customHeight="1">
      <c r="A24" s="9" t="inlineStr">
        <is>
          <t>30.2</t>
        </is>
      </c>
      <c r="B24" s="5" t="inlineStr">
        <is>
          <t>How many different members of agency or other non-permanent staff have been used in a care role since the last full inspection?</t>
        </is>
      </c>
      <c r="C24" s="12">
        <f>IF('Annex A staffing'!$C$5="","",SUMPRODUCT((('Agency shifts'!$A$6:$A$205&gt;'Annex A staffing'!$C$5)*('Agency shifts'!$A$6:$A$205&lt;='Annex A staffing'!$C$7)*('Agency shifts'!$B$6:$B$205&lt;&gt;""))/(COUNTIFS('Agency shifts'!$B$6:$B$205,'Agency shifts'!$B$6:$B$205&amp;"",'Agency shifts'!$A$6:$A$205,"&gt;"&amp;'Annex A staffing'!$C$5,'Agency shifts'!$A$6:$A$205,"&lt;="&amp;'Annex A staffing'!$C$7)+('Agency shifts'!$A$6:$A$205&lt;='Annex A staffing'!$C$5)+('Agency shifts'!$A$6:$A$205&gt;'Annex A staffing'!$C$7)+('Agency shifts'!$B$6:$B$205=""))))</f>
      </c>
      <c r="D24" s="13" t="inlineStr">
        <is>
          <t>Agency shifts: different names in that period</t>
        </is>
      </c>
    </row>
    <row r="25" ht="30" customHeight="1">
      <c r="A25" s="9" t="inlineStr">
        <is>
          <t>31.1</t>
        </is>
      </c>
      <c r="B25" s="5" t="inlineStr">
        <is>
          <t>Number of permanent staff in a care role (people)</t>
        </is>
      </c>
      <c r="C25" s="12">
        <f>COUNTIFS('Staff list'!$B$6:$B$45,"Yes",'Staff list'!$E$6:$E$45,"&lt;="&amp;'Annex A staffing'!$C$7,'Staff list'!$G$6:$G$45,"",'Staff list'!$C$6:$C$45,"Permanent")+COUNTIFS('Staff list'!$B$6:$B$45,"Yes",'Staff list'!$E$6:$E$45,"&lt;="&amp;'Annex A staffing'!$C$7,'Staff list'!$G$6:$G$45,"&gt;"&amp;'Annex A staffing'!$C$7,'Staff list'!$C$6:$C$45,"Permanent")</f>
      </c>
      <c r="D25" s="13" t="inlineStr">
        <is>
          <t>Staff list: care role, permanent, current at the counting date</t>
        </is>
      </c>
    </row>
    <row r="26" ht="30" customHeight="1">
      <c r="A26" s="9" t="inlineStr">
        <is>
          <t>31.2</t>
        </is>
      </c>
      <c r="B26" s="5" t="inlineStr">
        <is>
          <t>How many of these permanent staff in a care role work part time only?</t>
        </is>
      </c>
      <c r="C26" s="12">
        <f>COUNTIFS('Staff list'!$B$6:$B$45,"Yes",'Staff list'!$E$6:$E$45,"&lt;="&amp;'Annex A staffing'!$C$7,'Staff list'!$G$6:$G$45,"",'Staff list'!$C$6:$C$45,"Permanent",'Staff list'!$D$6:$D$45,"Part time")+COUNTIFS('Staff list'!$B$6:$B$45,"Yes",'Staff list'!$E$6:$E$45,"&lt;="&amp;'Annex A staffing'!$C$7,'Staff list'!$G$6:$G$45,"&gt;"&amp;'Annex A staffing'!$C$7,'Staff list'!$C$6:$C$45,"Permanent",'Staff list'!$D$6:$D$45,"Part time")</f>
      </c>
      <c r="D26" s="13" t="inlineStr">
        <is>
          <t>Staff list: as above, part time</t>
        </is>
      </c>
    </row>
    <row r="27" ht="30" customHeight="1">
      <c r="A27" s="9" t="inlineStr">
        <is>
          <t>32.1</t>
        </is>
      </c>
      <c r="B27" s="5" t="inlineStr">
        <is>
          <t>Number of agency/other (non-permanent) staff in a care role (people)</t>
        </is>
      </c>
      <c r="C27" s="12">
        <f>COUNTIFS('Staff list'!$B$6:$B$45,"Yes",'Staff list'!$E$6:$E$45,"&lt;="&amp;'Annex A staffing'!$C$7,'Staff list'!$G$6:$G$45,"",'Staff list'!$C$6:$C$45,"Agency or temporary")+COUNTIFS('Staff list'!$B$6:$B$45,"Yes",'Staff list'!$E$6:$E$45,"&lt;="&amp;'Annex A staffing'!$C$7,'Staff list'!$G$6:$G$45,"&gt;"&amp;'Annex A staffing'!$C$7,'Staff list'!$C$6:$C$45,"Agency or temporary")</f>
      </c>
      <c r="D27" s="13" t="inlineStr">
        <is>
          <t>Staff list: care role, agency or temporary, current</t>
        </is>
      </c>
    </row>
    <row r="28" ht="30" customHeight="1">
      <c r="A28" s="9" t="inlineStr">
        <is>
          <t>32.2</t>
        </is>
      </c>
      <c r="B28" s="5" t="inlineStr">
        <is>
          <t>How many of these agency/other (non-permanent) staff work in a care role part time only?</t>
        </is>
      </c>
      <c r="C28" s="12">
        <f>COUNTIFS('Staff list'!$B$6:$B$45,"Yes",'Staff list'!$E$6:$E$45,"&lt;="&amp;'Annex A staffing'!$C$7,'Staff list'!$G$6:$G$45,"",'Staff list'!$C$6:$C$45,"Agency or temporary",'Staff list'!$D$6:$D$45,"Part time")+COUNTIFS('Staff list'!$B$6:$B$45,"Yes",'Staff list'!$E$6:$E$45,"&lt;="&amp;'Annex A staffing'!$C$7,'Staff list'!$G$6:$G$45,"&gt;"&amp;'Annex A staffing'!$C$7,'Staff list'!$C$6:$C$45,"Agency or temporary",'Staff list'!$D$6:$D$45,"Part time")</f>
      </c>
      <c r="D28" s="13" t="inlineStr">
        <is>
          <t>Staff list: as above, part time</t>
        </is>
      </c>
    </row>
    <row r="29" ht="30" customHeight="1">
      <c r="A29" s="9" t="inlineStr">
        <is>
          <t>33</t>
        </is>
      </c>
      <c r="B29" s="5" t="inlineStr">
        <is>
          <t>Number of staff in a care role with a level 3 diploma or equivalent</t>
        </is>
      </c>
      <c r="C29" s="12">
        <f>COUNTIFS('Staff list'!$B$6:$B$45,"Yes",'Staff list'!$E$6:$E$45,"&lt;="&amp;'Annex A staffing'!$C$7,'Staff list'!$G$6:$G$45,"",'Staff list'!$H$6:$H$45,"&lt;&gt;")+COUNTIFS('Staff list'!$B$6:$B$45,"Yes",'Staff list'!$E$6:$E$45,"&lt;="&amp;'Annex A staffing'!$C$7,'Staff list'!$G$6:$G$45,"&gt;"&amp;'Annex A staffing'!$C$7,'Staff list'!$H$6:$H$45,"&lt;&gt;")</f>
      </c>
      <c r="D29" s="13" t="inlineStr">
        <is>
          <t>Staff list: care role, current, level 3 held on filled</t>
        </is>
      </c>
    </row>
    <row r="30" ht="30" customHeight="1">
      <c r="A30" s="9" t="inlineStr">
        <is>
          <t>34.1</t>
        </is>
      </c>
      <c r="B30" s="5" t="inlineStr">
        <is>
          <t>Number of staff in a care role for whom the relevant date for qualification under Regulation 32 has passed</t>
        </is>
      </c>
      <c r="C30" s="12">
        <f>COUNTIFS('Staff list'!$B$6:$B$45,"Yes",'Staff list'!$E$6:$E$45,"&lt;="&amp;'Annex A staffing'!$C$7,'Staff list'!$G$6:$G$45,"",'Staff list'!$D$6:$D$45,"Full time",'Staff list'!$F$6:$F$45,"&lt;="&amp;EDATE('Annex A staffing'!$C$7,-24))+COUNTIFS('Staff list'!$B$6:$B$45,"Yes",'Staff list'!$E$6:$E$45,"&lt;="&amp;'Annex A staffing'!$C$7,'Staff list'!$G$6:$G$45,"&gt;"&amp;'Annex A staffing'!$C$7,'Staff list'!$D$6:$D$45,"Full time",'Staff list'!$F$6:$F$45,"&lt;="&amp;EDATE('Annex A staffing'!$C$7,-24))+COUNTIFS('Staff list'!$B$6:$B$45,"Yes",'Staff list'!$E$6:$E$45,"&lt;="&amp;'Annex A staffing'!$C$7,'Staff list'!$G$6:$G$45,"",'Staff list'!$D$6:$D$45,"Part time",'Staff list'!$F$6:$F$45,"&lt;="&amp;EDATE('Annex A staffing'!$C$7,-60))+COUNTIFS('Staff list'!$B$6:$B$45,"Yes",'Staff list'!$E$6:$E$45,"&lt;="&amp;'Annex A staffing'!$C$7,'Staff list'!$G$6:$G$45,"&gt;"&amp;'Annex A staffing'!$C$7,'Staff list'!$D$6:$D$45,"Part time",'Staff list'!$F$6:$F$45,"&lt;="&amp;EDATE('Annex A staffing'!$C$7,-60))</f>
      </c>
      <c r="D30" s="13" t="inlineStr">
        <is>
          <t>Staff list: first care role two years or more before the counting date (the form suggests five years for part time). A counting helper, not a person's deadline: see the Status column</t>
        </is>
      </c>
    </row>
    <row r="31" ht="30" customHeight="1">
      <c r="A31" s="9" t="inlineStr">
        <is>
          <t>34.2</t>
        </is>
      </c>
      <c r="B31" s="5" t="inlineStr">
        <is>
          <t>How many of the staff who fall into the criteria for 34.1 are qualified to diploma level 3?</t>
        </is>
      </c>
      <c r="C31" s="12">
        <f>COUNTIFS('Staff list'!$B$6:$B$45,"Yes",'Staff list'!$E$6:$E$45,"&lt;="&amp;'Annex A staffing'!$C$7,'Staff list'!$G$6:$G$45,"",'Staff list'!$D$6:$D$45,"Full time",'Staff list'!$F$6:$F$45,"&lt;="&amp;EDATE('Annex A staffing'!$C$7,-24),'Staff list'!$H$6:$H$45,"&lt;&gt;")+COUNTIFS('Staff list'!$B$6:$B$45,"Yes",'Staff list'!$E$6:$E$45,"&lt;="&amp;'Annex A staffing'!$C$7,'Staff list'!$G$6:$G$45,"&gt;"&amp;'Annex A staffing'!$C$7,'Staff list'!$D$6:$D$45,"Full time",'Staff list'!$F$6:$F$45,"&lt;="&amp;EDATE('Annex A staffing'!$C$7,-24),'Staff list'!$H$6:$H$45,"&lt;&gt;")+COUNTIFS('Staff list'!$B$6:$B$45,"Yes",'Staff list'!$E$6:$E$45,"&lt;="&amp;'Annex A staffing'!$C$7,'Staff list'!$G$6:$G$45,"",'Staff list'!$D$6:$D$45,"Part time",'Staff list'!$F$6:$F$45,"&lt;="&amp;EDATE('Annex A staffing'!$C$7,-60),'Staff list'!$H$6:$H$45,"&lt;&gt;")+COUNTIFS('Staff list'!$B$6:$B$45,"Yes",'Staff list'!$E$6:$E$45,"&lt;="&amp;'Annex A staffing'!$C$7,'Staff list'!$G$6:$G$45,"&gt;"&amp;'Annex A staffing'!$C$7,'Staff list'!$D$6:$D$45,"Part time",'Staff list'!$F$6:$F$45,"&lt;="&amp;EDATE('Annex A staffing'!$C$7,-60),'Staff list'!$H$6:$H$45,"&lt;&gt;")</f>
      </c>
      <c r="D31" s="13" t="inlineStr">
        <is>
          <t>Staff list: as 34.1 with level 3 held on filled</t>
        </is>
      </c>
    </row>
    <row r="32" ht="30" customHeight="1">
      <c r="A32" s="9" t="inlineStr">
        <is>
          <t>34.3</t>
        </is>
      </c>
      <c r="B32" s="5" t="inlineStr">
        <is>
          <t>How many of the staff who fall into the criteria for 34.1 are undertaking a diploma level 3?</t>
        </is>
      </c>
      <c r="C32" s="12">
        <f>COUNTIFS('Staff list'!$B$6:$B$45,"Yes",'Staff list'!$E$6:$E$45,"&lt;="&amp;'Annex A staffing'!$C$7,'Staff list'!$G$6:$G$45,"",'Staff list'!$D$6:$D$45,"Full time",'Staff list'!$F$6:$F$45,"&lt;="&amp;EDATE('Annex A staffing'!$C$7,-24),'Staff list'!$H$6:$H$45,"",'Staff list'!$I$6:$I$45,"&lt;&gt;")+COUNTIFS('Staff list'!$B$6:$B$45,"Yes",'Staff list'!$E$6:$E$45,"&lt;="&amp;'Annex A staffing'!$C$7,'Staff list'!$G$6:$G$45,"&gt;"&amp;'Annex A staffing'!$C$7,'Staff list'!$D$6:$D$45,"Full time",'Staff list'!$F$6:$F$45,"&lt;="&amp;EDATE('Annex A staffing'!$C$7,-24),'Staff list'!$H$6:$H$45,"",'Staff list'!$I$6:$I$45,"&lt;&gt;")+COUNTIFS('Staff list'!$B$6:$B$45,"Yes",'Staff list'!$E$6:$E$45,"&lt;="&amp;'Annex A staffing'!$C$7,'Staff list'!$G$6:$G$45,"",'Staff list'!$D$6:$D$45,"Part time",'Staff list'!$F$6:$F$45,"&lt;="&amp;EDATE('Annex A staffing'!$C$7,-60),'Staff list'!$H$6:$H$45,"",'Staff list'!$I$6:$I$45,"&lt;&gt;")+COUNTIFS('Staff list'!$B$6:$B$45,"Yes",'Staff list'!$E$6:$E$45,"&lt;="&amp;'Annex A staffing'!$C$7,'Staff list'!$G$6:$G$45,"&gt;"&amp;'Annex A staffing'!$C$7,'Staff list'!$D$6:$D$45,"Part time",'Staff list'!$F$6:$F$45,"&lt;="&amp;EDATE('Annex A staffing'!$C$7,-60),'Staff list'!$H$6:$H$45,"",'Staff list'!$I$6:$I$45,"&lt;&gt;")</f>
      </c>
      <c r="D32" s="13" t="inlineStr">
        <is>
          <t>Staff list: as 34.1, started but not held</t>
        </is>
      </c>
    </row>
    <row r="33" ht="30" customHeight="1">
      <c r="A33" s="9" t="inlineStr">
        <is>
          <t>34.4</t>
        </is>
      </c>
      <c r="B33" s="5" t="inlineStr">
        <is>
          <t>Name(s) and expected qualification date(s) of staff in 34.3</t>
        </is>
      </c>
      <c r="C33" s="13" t="inlineStr">
        <is>
          <t>See the Staff list: rows whose Status reads "Date passed, undertaking", with the date in Level 3 expected</t>
        </is>
      </c>
      <c r="D33" s="13" t="inlineStr">
        <is>
          <t>Staff list, Status column</t>
        </is>
      </c>
    </row>
    <row r="34" ht="30" customHeight="1">
      <c r="A34" s="9" t="inlineStr">
        <is>
          <t>35</t>
        </is>
      </c>
      <c r="B34" s="5" t="inlineStr">
        <is>
          <t>Number of all staff with valid first-aid qualification</t>
        </is>
      </c>
      <c r="C34" s="12">
        <f>COUNTIFS('Staff list'!$E$6:$E$45,"&lt;="&amp;'Annex A staffing'!$C$7,'Staff list'!$G$6:$G$45,"",'Staff list'!$L$6:$L$45,"&gt;="&amp;'Annex A staffing'!$C$7)+COUNTIFS('Staff list'!$E$6:$E$45,"&lt;="&amp;'Annex A staffing'!$C$7,'Staff list'!$G$6:$G$45,"&gt;"&amp;'Annex A staffing'!$C$7,'Staff list'!$L$6:$L$45,"&gt;="&amp;'Annex A staffing'!$C$7)</f>
      </c>
      <c r="D34" s="13" t="inlineStr">
        <is>
          <t>Staff list: current at the counting date, first aid valid until then or later</t>
        </is>
      </c>
    </row>
    <row r="35" ht="30" customHeight="1">
      <c r="A35" s="6"/>
      <c r="B35" s="14" t="inlineStr">
        <is>
          <t>Asked elsewhere on the same form</t>
        </is>
      </c>
      <c r="C35" s="6"/>
      <c r="D35" s="6"/>
    </row>
    <row r="36" ht="30" customHeight="1">
      <c r="A36" s="9" t="inlineStr">
        <is>
          <t>SV1</t>
        </is>
      </c>
      <c r="B36" s="5" t="inlineStr">
        <is>
          <t>How many staff vacancies (for staff in a care role) do you currently have?</t>
        </is>
      </c>
      <c r="C36" s="12">
        <f>IF(C8="","",C8)</f>
      </c>
      <c r="D36" s="13" t="inlineStr">
        <is>
          <t>Your answer above</t>
        </is>
      </c>
    </row>
    <row r="37" ht="30" customHeight="1">
      <c r="A37" s="9" t="inlineStr">
        <is>
          <t>H3a</t>
        </is>
      </c>
      <c r="B37" s="5" t="inlineStr">
        <is>
          <t>Have staff received specific training since the last inspection in relation to children's healthcare needs?</t>
        </is>
      </c>
      <c r="C37" s="12">
        <f>IF(C13="","",C13)</f>
      </c>
      <c r="D37" s="13" t="inlineStr">
        <is>
          <t>Your answer above</t>
        </is>
      </c>
    </row>
    <row r="38" ht="30" customHeight="1">
      <c r="A38" s="9" t="inlineStr">
        <is>
          <t>H3b</t>
        </is>
      </c>
      <c r="B38" s="5" t="inlineStr">
        <is>
          <t>Please provide details</t>
        </is>
      </c>
      <c r="C38" s="12">
        <f>IF(C14="","",C14)</f>
      </c>
      <c r="D38" s="13" t="inlineStr">
        <is>
          <t>Your answer above</t>
        </is>
      </c>
    </row>
    <row r="39" ht="30" customHeight="1">
      <c r="A39" s="9" t="inlineStr">
        <is>
          <t>39</t>
        </is>
      </c>
      <c r="B39" s="5" t="inlineStr">
        <is>
          <t>Date statement of purpose was last updated (Section 11)</t>
        </is>
      </c>
      <c r="C39" s="11">
        <f>IF('Governance clocks'!B5="","",'Governance clocks'!B5)</f>
      </c>
      <c r="D39" s="13" t="inlineStr">
        <is>
          <t>Governance clocks, row 5</t>
        </is>
      </c>
    </row>
    <row r="40" ht="30" customHeight="1">
      <c r="A40" s="9" t="inlineStr">
        <is>
          <t>41</t>
        </is>
      </c>
      <c r="B40" s="5" t="inlineStr">
        <is>
          <t>Date of last annual assessment of the location of the home (Section 11)</t>
        </is>
      </c>
      <c r="C40" s="11">
        <f>IF('Governance clocks'!B6="","",'Governance clocks'!B6)</f>
      </c>
      <c r="D40" s="13" t="inlineStr">
        <is>
          <t>Governance clocks, row 6</t>
        </is>
      </c>
    </row>
    <row r="41"/>
    <row r="42" ht="44" customHeight="1">
      <c r="A42" s="15" t="inlineStr">
        <is>
          <t>Regulation 32(5): the level 3 is due two years after first starting work in a care role; 32(6): the registered person may defer that date for part-time work or a prolonged absence, so record any deferral on the Staff list. Regulation 28: the registered manager's level 5 within three years.</t>
        </is>
      </c>
    </row>
  </sheetData>
  <mergeCells count="4">
    <mergeCell ref="A1:C1"/>
    <mergeCell ref="A2:D2"/>
    <mergeCell ref="B4:D4"/>
    <mergeCell ref="A42:D42"/>
  </mergeCells>
  <pageMargins left="0.4" right="0.4" top="0.5" bottom="0.5" header="0.3" footer="0.3"/>
  <pageSetup paperSize="9" orientation="landscape" fitToWidth="1" fitToHeight="0"/>
</worksheet>
</file>

<file path=xl/worksheets/sheet3.xml><?xml version="1.0" encoding="utf-8"?>
<worksheet xmlns="http://schemas.openxmlformats.org/spreadsheetml/2006/main">
  <sheetPr>
    <tabColor rgb="FF0D5C45"/>
    <pageSetUpPr fitToPage="1"/>
  </sheetPr>
  <sheetViews>
    <sheetView showGridLines="0" workbookViewId="0">
      <pane ySplit="5" topLeftCell="A6" activePane="bottomLeft" state="frozen"/>
    </sheetView>
  </sheetViews>
  <sheetFormatPr defaultRowHeight="15"/>
  <cols>
    <col min="1" max="1" width="24" customWidth="1"/>
    <col min="2" max="2" width="10" customWidth="1"/>
    <col min="3" max="3" width="18" customWidth="1"/>
    <col min="4" max="4" width="14" customWidth="1"/>
    <col min="5" max="5" width="12" customWidth="1"/>
    <col min="6" max="6" width="14" customWidth="1"/>
    <col min="7" max="7" width="11" customWidth="1"/>
    <col min="8" max="8" width="12" customWidth="1"/>
    <col min="9" max="9" width="12" customWidth="1"/>
    <col min="10" max="10" width="12" customWidth="1"/>
    <col min="11" max="11" width="16" customWidth="1"/>
    <col min="12" max="12" width="12" customWidth="1"/>
    <col min="13" max="13" width="18" customWidth="1"/>
    <col min="14" max="14" width="32" customWidth="1"/>
  </cols>
  <sheetData>
    <row r="1" ht="24" customHeight="1">
      <c r="A1" s="1" t="inlineStr">
        <is>
          <t>Staff list</t>
        </is>
      </c>
    </row>
    <row r="2" ht="44" customHeight="1">
      <c r="A2" s="8" t="inlineStr">
        <is>
          <t>One row per person, leavers included (date they left in column G; they stay for the counts). Care role means working directly with the children. Two dates matter: when they started at this home, and when they first started in a care role anywhere, which is the regulation 32 clock for the level 3. Copy the names from the Training matrix so the two lists agree.</t>
        </is>
      </c>
    </row>
    <row r="3"/>
    <row r="4" ht="58" customHeight="1">
      <c r="A4" s="4" t="inlineStr">
        <is>
          <t>Staff member</t>
        </is>
      </c>
      <c r="B4" s="4" t="inlineStr">
        <is>
          <t>Care role? (Yes/No)</t>
        </is>
      </c>
      <c r="C4" s="4" t="inlineStr">
        <is>
          <t>Contract (Permanent / Agency or temporary)</t>
        </is>
      </c>
      <c r="D4" s="4" t="inlineStr">
        <is>
          <t>Hours (Full time / Part time)</t>
        </is>
      </c>
      <c r="E4" s="4" t="inlineStr">
        <is>
          <t>Started at this home</t>
        </is>
      </c>
      <c r="F4" s="4" t="inlineStr">
        <is>
          <t>First started in a care role (any home)</t>
        </is>
      </c>
      <c r="G4" s="4" t="inlineStr">
        <is>
          <t>Left on</t>
        </is>
      </c>
      <c r="H4" s="4" t="inlineStr">
        <is>
          <t>Level 3 held on</t>
        </is>
      </c>
      <c r="I4" s="4" t="inlineStr">
        <is>
          <t>Level 3 started on</t>
        </is>
      </c>
      <c r="J4" s="4" t="inlineStr">
        <is>
          <t>Level 3 expected</t>
        </is>
      </c>
      <c r="K4" s="4" t="inlineStr">
        <is>
          <t>Relevant date, if the registered person deferred it</t>
        </is>
      </c>
      <c r="L4" s="4" t="inlineStr">
        <is>
          <t>First aid valid until</t>
        </is>
      </c>
      <c r="M4" s="4" t="inlineStr">
        <is>
          <t>Notes</t>
        </is>
      </c>
      <c r="N4" s="4" t="inlineStr">
        <is>
          <t>Regulation 32 status (auto, as at today)</t>
        </is>
      </c>
    </row>
    <row r="5" ht="30" customHeight="1">
      <c r="A5" s="15" t="inlineStr">
        <is>
          <t>Type in the white cells. Yes/No, Permanent/Agency or temporary and Full time/Part time must be spelled that way for the counts. Dates as dates.</t>
        </is>
      </c>
    </row>
    <row r="6">
      <c r="A6" s="10" t="inlineStr">
        <is>
          <t>Example, overtype or delete me</t>
        </is>
      </c>
      <c r="B6" s="9" t="inlineStr">
        <is>
          <t>Yes</t>
        </is>
      </c>
      <c r="C6" s="9" t="inlineStr">
        <is>
          <t>Permanent</t>
        </is>
      </c>
      <c r="D6" s="9" t="inlineStr">
        <is>
          <t>Full time</t>
        </is>
      </c>
      <c r="E6" s="16">
        <v>45872</v>
      </c>
      <c r="F6" s="16">
        <v>45372</v>
      </c>
      <c r="G6" s="9"/>
      <c r="H6" s="9"/>
      <c r="I6" s="16">
        <v>45972</v>
      </c>
      <c r="J6" s="16">
        <v>46392</v>
      </c>
      <c r="K6" s="9"/>
      <c r="L6" s="16">
        <v>46472</v>
      </c>
      <c r="M6" s="6"/>
      <c r="N6" s="12">
        <f>IF(OR(B6&lt;&gt;"Yes",AND(G6&lt;&gt;"",G6&lt;=TODAY())),"",IF(H6&lt;&gt;"","Qualified",IF(F6="","No care start date",IF(IF(K6&lt;&gt;"",K6,EDATE(F6,24))&lt;=TODAY(),IF(I6&lt;&gt;"","Date passed, undertaking","Date passed, not started"),IF(I6&lt;&gt;"","Undertaking, due "&amp;TEXT(IF(K6&lt;&gt;"",K6,EDATE(F6,24)),"dd/mm/yyyy"),"Due by "&amp;TEXT(IF(K6&lt;&gt;"",K6,EDATE(F6,24)),"dd/mm/yyyy"))))))</f>
      </c>
    </row>
    <row r="7">
      <c r="A7" s="6"/>
      <c r="B7" s="9"/>
      <c r="C7" s="9"/>
      <c r="D7" s="9"/>
      <c r="E7" s="9"/>
      <c r="F7" s="9"/>
      <c r="G7" s="9"/>
      <c r="H7" s="9"/>
      <c r="I7" s="9"/>
      <c r="J7" s="9"/>
      <c r="K7" s="9"/>
      <c r="L7" s="9"/>
      <c r="M7" s="6"/>
      <c r="N7" s="12">
        <f>IF(OR(B7&lt;&gt;"Yes",AND(G7&lt;&gt;"",G7&lt;=TODAY())),"",IF(H7&lt;&gt;"","Qualified",IF(F7="","No care start date",IF(IF(K7&lt;&gt;"",K7,EDATE(F7,24))&lt;=TODAY(),IF(I7&lt;&gt;"","Date passed, undertaking","Date passed, not started"),IF(I7&lt;&gt;"","Undertaking, due "&amp;TEXT(IF(K7&lt;&gt;"",K7,EDATE(F7,24)),"dd/mm/yyyy"),"Due by "&amp;TEXT(IF(K7&lt;&gt;"",K7,EDATE(F7,24)),"dd/mm/yyyy"))))))</f>
      </c>
    </row>
    <row r="8">
      <c r="A8" s="6"/>
      <c r="B8" s="9"/>
      <c r="C8" s="9"/>
      <c r="D8" s="9"/>
      <c r="E8" s="9"/>
      <c r="F8" s="9"/>
      <c r="G8" s="9"/>
      <c r="H8" s="9"/>
      <c r="I8" s="9"/>
      <c r="J8" s="9"/>
      <c r="K8" s="9"/>
      <c r="L8" s="9"/>
      <c r="M8" s="6"/>
      <c r="N8" s="12">
        <f>IF(OR(B8&lt;&gt;"Yes",AND(G8&lt;&gt;"",G8&lt;=TODAY())),"",IF(H8&lt;&gt;"","Qualified",IF(F8="","No care start date",IF(IF(K8&lt;&gt;"",K8,EDATE(F8,24))&lt;=TODAY(),IF(I8&lt;&gt;"","Date passed, undertaking","Date passed, not started"),IF(I8&lt;&gt;"","Undertaking, due "&amp;TEXT(IF(K8&lt;&gt;"",K8,EDATE(F8,24)),"dd/mm/yyyy"),"Due by "&amp;TEXT(IF(K8&lt;&gt;"",K8,EDATE(F8,24)),"dd/mm/yyyy"))))))</f>
      </c>
    </row>
    <row r="9">
      <c r="A9" s="6"/>
      <c r="B9" s="9"/>
      <c r="C9" s="9"/>
      <c r="D9" s="9"/>
      <c r="E9" s="9"/>
      <c r="F9" s="9"/>
      <c r="G9" s="9"/>
      <c r="H9" s="9"/>
      <c r="I9" s="9"/>
      <c r="J9" s="9"/>
      <c r="K9" s="9"/>
      <c r="L9" s="9"/>
      <c r="M9" s="6"/>
      <c r="N9" s="12">
        <f>IF(OR(B9&lt;&gt;"Yes",AND(G9&lt;&gt;"",G9&lt;=TODAY())),"",IF(H9&lt;&gt;"","Qualified",IF(F9="","No care start date",IF(IF(K9&lt;&gt;"",K9,EDATE(F9,24))&lt;=TODAY(),IF(I9&lt;&gt;"","Date passed, undertaking","Date passed, not started"),IF(I9&lt;&gt;"","Undertaking, due "&amp;TEXT(IF(K9&lt;&gt;"",K9,EDATE(F9,24)),"dd/mm/yyyy"),"Due by "&amp;TEXT(IF(K9&lt;&gt;"",K9,EDATE(F9,24)),"dd/mm/yyyy"))))))</f>
      </c>
    </row>
    <row r="10">
      <c r="A10" s="6"/>
      <c r="B10" s="9"/>
      <c r="C10" s="9"/>
      <c r="D10" s="9"/>
      <c r="E10" s="9"/>
      <c r="F10" s="9"/>
      <c r="G10" s="9"/>
      <c r="H10" s="9"/>
      <c r="I10" s="9"/>
      <c r="J10" s="9"/>
      <c r="K10" s="9"/>
      <c r="L10" s="9"/>
      <c r="M10" s="6"/>
      <c r="N10" s="12">
        <f>IF(OR(B10&lt;&gt;"Yes",AND(G10&lt;&gt;"",G10&lt;=TODAY())),"",IF(H10&lt;&gt;"","Qualified",IF(F10="","No care start date",IF(IF(K10&lt;&gt;"",K10,EDATE(F10,24))&lt;=TODAY(),IF(I10&lt;&gt;"","Date passed, undertaking","Date passed, not started"),IF(I10&lt;&gt;"","Undertaking, due "&amp;TEXT(IF(K10&lt;&gt;"",K10,EDATE(F10,24)),"dd/mm/yyyy"),"Due by "&amp;TEXT(IF(K10&lt;&gt;"",K10,EDATE(F10,24)),"dd/mm/yyyy"))))))</f>
      </c>
    </row>
    <row r="11">
      <c r="A11" s="6"/>
      <c r="B11" s="9"/>
      <c r="C11" s="9"/>
      <c r="D11" s="9"/>
      <c r="E11" s="9"/>
      <c r="F11" s="9"/>
      <c r="G11" s="9"/>
      <c r="H11" s="9"/>
      <c r="I11" s="9"/>
      <c r="J11" s="9"/>
      <c r="K11" s="9"/>
      <c r="L11" s="9"/>
      <c r="M11" s="6"/>
      <c r="N11" s="12">
        <f>IF(OR(B11&lt;&gt;"Yes",AND(G11&lt;&gt;"",G11&lt;=TODAY())),"",IF(H11&lt;&gt;"","Qualified",IF(F11="","No care start date",IF(IF(K11&lt;&gt;"",K11,EDATE(F11,24))&lt;=TODAY(),IF(I11&lt;&gt;"","Date passed, undertaking","Date passed, not started"),IF(I11&lt;&gt;"","Undertaking, due "&amp;TEXT(IF(K11&lt;&gt;"",K11,EDATE(F11,24)),"dd/mm/yyyy"),"Due by "&amp;TEXT(IF(K11&lt;&gt;"",K11,EDATE(F11,24)),"dd/mm/yyyy"))))))</f>
      </c>
    </row>
    <row r="12">
      <c r="A12" s="6"/>
      <c r="B12" s="9"/>
      <c r="C12" s="9"/>
      <c r="D12" s="9"/>
      <c r="E12" s="9"/>
      <c r="F12" s="9"/>
      <c r="G12" s="9"/>
      <c r="H12" s="9"/>
      <c r="I12" s="9"/>
      <c r="J12" s="9"/>
      <c r="K12" s="9"/>
      <c r="L12" s="9"/>
      <c r="M12" s="6"/>
      <c r="N12" s="12">
        <f>IF(OR(B12&lt;&gt;"Yes",AND(G12&lt;&gt;"",G12&lt;=TODAY())),"",IF(H12&lt;&gt;"","Qualified",IF(F12="","No care start date",IF(IF(K12&lt;&gt;"",K12,EDATE(F12,24))&lt;=TODAY(),IF(I12&lt;&gt;"","Date passed, undertaking","Date passed, not started"),IF(I12&lt;&gt;"","Undertaking, due "&amp;TEXT(IF(K12&lt;&gt;"",K12,EDATE(F12,24)),"dd/mm/yyyy"),"Due by "&amp;TEXT(IF(K12&lt;&gt;"",K12,EDATE(F12,24)),"dd/mm/yyyy"))))))</f>
      </c>
    </row>
    <row r="13">
      <c r="A13" s="6"/>
      <c r="B13" s="9"/>
      <c r="C13" s="9"/>
      <c r="D13" s="9"/>
      <c r="E13" s="9"/>
      <c r="F13" s="9"/>
      <c r="G13" s="9"/>
      <c r="H13" s="9"/>
      <c r="I13" s="9"/>
      <c r="J13" s="9"/>
      <c r="K13" s="9"/>
      <c r="L13" s="9"/>
      <c r="M13" s="6"/>
      <c r="N13" s="12">
        <f>IF(OR(B13&lt;&gt;"Yes",AND(G13&lt;&gt;"",G13&lt;=TODAY())),"",IF(H13&lt;&gt;"","Qualified",IF(F13="","No care start date",IF(IF(K13&lt;&gt;"",K13,EDATE(F13,24))&lt;=TODAY(),IF(I13&lt;&gt;"","Date passed, undertaking","Date passed, not started"),IF(I13&lt;&gt;"","Undertaking, due "&amp;TEXT(IF(K13&lt;&gt;"",K13,EDATE(F13,24)),"dd/mm/yyyy"),"Due by "&amp;TEXT(IF(K13&lt;&gt;"",K13,EDATE(F13,24)),"dd/mm/yyyy"))))))</f>
      </c>
    </row>
    <row r="14">
      <c r="A14" s="6"/>
      <c r="B14" s="9"/>
      <c r="C14" s="9"/>
      <c r="D14" s="9"/>
      <c r="E14" s="9"/>
      <c r="F14" s="9"/>
      <c r="G14" s="9"/>
      <c r="H14" s="9"/>
      <c r="I14" s="9"/>
      <c r="J14" s="9"/>
      <c r="K14" s="9"/>
      <c r="L14" s="9"/>
      <c r="M14" s="6"/>
      <c r="N14" s="12">
        <f>IF(OR(B14&lt;&gt;"Yes",AND(G14&lt;&gt;"",G14&lt;=TODAY())),"",IF(H14&lt;&gt;"","Qualified",IF(F14="","No care start date",IF(IF(K14&lt;&gt;"",K14,EDATE(F14,24))&lt;=TODAY(),IF(I14&lt;&gt;"","Date passed, undertaking","Date passed, not started"),IF(I14&lt;&gt;"","Undertaking, due "&amp;TEXT(IF(K14&lt;&gt;"",K14,EDATE(F14,24)),"dd/mm/yyyy"),"Due by "&amp;TEXT(IF(K14&lt;&gt;"",K14,EDATE(F14,24)),"dd/mm/yyyy"))))))</f>
      </c>
    </row>
    <row r="15">
      <c r="A15" s="6"/>
      <c r="B15" s="9"/>
      <c r="C15" s="9"/>
      <c r="D15" s="9"/>
      <c r="E15" s="9"/>
      <c r="F15" s="9"/>
      <c r="G15" s="9"/>
      <c r="H15" s="9"/>
      <c r="I15" s="9"/>
      <c r="J15" s="9"/>
      <c r="K15" s="9"/>
      <c r="L15" s="9"/>
      <c r="M15" s="6"/>
      <c r="N15" s="12">
        <f>IF(OR(B15&lt;&gt;"Yes",AND(G15&lt;&gt;"",G15&lt;=TODAY())),"",IF(H15&lt;&gt;"","Qualified",IF(F15="","No care start date",IF(IF(K15&lt;&gt;"",K15,EDATE(F15,24))&lt;=TODAY(),IF(I15&lt;&gt;"","Date passed, undertaking","Date passed, not started"),IF(I15&lt;&gt;"","Undertaking, due "&amp;TEXT(IF(K15&lt;&gt;"",K15,EDATE(F15,24)),"dd/mm/yyyy"),"Due by "&amp;TEXT(IF(K15&lt;&gt;"",K15,EDATE(F15,24)),"dd/mm/yyyy"))))))</f>
      </c>
    </row>
    <row r="16">
      <c r="A16" s="6"/>
      <c r="B16" s="9"/>
      <c r="C16" s="9"/>
      <c r="D16" s="9"/>
      <c r="E16" s="9"/>
      <c r="F16" s="9"/>
      <c r="G16" s="9"/>
      <c r="H16" s="9"/>
      <c r="I16" s="9"/>
      <c r="J16" s="9"/>
      <c r="K16" s="9"/>
      <c r="L16" s="9"/>
      <c r="M16" s="6"/>
      <c r="N16" s="12">
        <f>IF(OR(B16&lt;&gt;"Yes",AND(G16&lt;&gt;"",G16&lt;=TODAY())),"",IF(H16&lt;&gt;"","Qualified",IF(F16="","No care start date",IF(IF(K16&lt;&gt;"",K16,EDATE(F16,24))&lt;=TODAY(),IF(I16&lt;&gt;"","Date passed, undertaking","Date passed, not started"),IF(I16&lt;&gt;"","Undertaking, due "&amp;TEXT(IF(K16&lt;&gt;"",K16,EDATE(F16,24)),"dd/mm/yyyy"),"Due by "&amp;TEXT(IF(K16&lt;&gt;"",K16,EDATE(F16,24)),"dd/mm/yyyy"))))))</f>
      </c>
    </row>
    <row r="17">
      <c r="A17" s="6"/>
      <c r="B17" s="9"/>
      <c r="C17" s="9"/>
      <c r="D17" s="9"/>
      <c r="E17" s="9"/>
      <c r="F17" s="9"/>
      <c r="G17" s="9"/>
      <c r="H17" s="9"/>
      <c r="I17" s="9"/>
      <c r="J17" s="9"/>
      <c r="K17" s="9"/>
      <c r="L17" s="9"/>
      <c r="M17" s="6"/>
      <c r="N17" s="12">
        <f>IF(OR(B17&lt;&gt;"Yes",AND(G17&lt;&gt;"",G17&lt;=TODAY())),"",IF(H17&lt;&gt;"","Qualified",IF(F17="","No care start date",IF(IF(K17&lt;&gt;"",K17,EDATE(F17,24))&lt;=TODAY(),IF(I17&lt;&gt;"","Date passed, undertaking","Date passed, not started"),IF(I17&lt;&gt;"","Undertaking, due "&amp;TEXT(IF(K17&lt;&gt;"",K17,EDATE(F17,24)),"dd/mm/yyyy"),"Due by "&amp;TEXT(IF(K17&lt;&gt;"",K17,EDATE(F17,24)),"dd/mm/yyyy"))))))</f>
      </c>
    </row>
    <row r="18">
      <c r="A18" s="6"/>
      <c r="B18" s="9"/>
      <c r="C18" s="9"/>
      <c r="D18" s="9"/>
      <c r="E18" s="9"/>
      <c r="F18" s="9"/>
      <c r="G18" s="9"/>
      <c r="H18" s="9"/>
      <c r="I18" s="9"/>
      <c r="J18" s="9"/>
      <c r="K18" s="9"/>
      <c r="L18" s="9"/>
      <c r="M18" s="6"/>
      <c r="N18" s="12">
        <f>IF(OR(B18&lt;&gt;"Yes",AND(G18&lt;&gt;"",G18&lt;=TODAY())),"",IF(H18&lt;&gt;"","Qualified",IF(F18="","No care start date",IF(IF(K18&lt;&gt;"",K18,EDATE(F18,24))&lt;=TODAY(),IF(I18&lt;&gt;"","Date passed, undertaking","Date passed, not started"),IF(I18&lt;&gt;"","Undertaking, due "&amp;TEXT(IF(K18&lt;&gt;"",K18,EDATE(F18,24)),"dd/mm/yyyy"),"Due by "&amp;TEXT(IF(K18&lt;&gt;"",K18,EDATE(F18,24)),"dd/mm/yyyy"))))))</f>
      </c>
    </row>
    <row r="19">
      <c r="A19" s="6"/>
      <c r="B19" s="9"/>
      <c r="C19" s="9"/>
      <c r="D19" s="9"/>
      <c r="E19" s="9"/>
      <c r="F19" s="9"/>
      <c r="G19" s="9"/>
      <c r="H19" s="9"/>
      <c r="I19" s="9"/>
      <c r="J19" s="9"/>
      <c r="K19" s="9"/>
      <c r="L19" s="9"/>
      <c r="M19" s="6"/>
      <c r="N19" s="12">
        <f>IF(OR(B19&lt;&gt;"Yes",AND(G19&lt;&gt;"",G19&lt;=TODAY())),"",IF(H19&lt;&gt;"","Qualified",IF(F19="","No care start date",IF(IF(K19&lt;&gt;"",K19,EDATE(F19,24))&lt;=TODAY(),IF(I19&lt;&gt;"","Date passed, undertaking","Date passed, not started"),IF(I19&lt;&gt;"","Undertaking, due "&amp;TEXT(IF(K19&lt;&gt;"",K19,EDATE(F19,24)),"dd/mm/yyyy"),"Due by "&amp;TEXT(IF(K19&lt;&gt;"",K19,EDATE(F19,24)),"dd/mm/yyyy"))))))</f>
      </c>
    </row>
    <row r="20">
      <c r="A20" s="6"/>
      <c r="B20" s="9"/>
      <c r="C20" s="9"/>
      <c r="D20" s="9"/>
      <c r="E20" s="9"/>
      <c r="F20" s="9"/>
      <c r="G20" s="9"/>
      <c r="H20" s="9"/>
      <c r="I20" s="9"/>
      <c r="J20" s="9"/>
      <c r="K20" s="9"/>
      <c r="L20" s="9"/>
      <c r="M20" s="6"/>
      <c r="N20" s="12">
        <f>IF(OR(B20&lt;&gt;"Yes",AND(G20&lt;&gt;"",G20&lt;=TODAY())),"",IF(H20&lt;&gt;"","Qualified",IF(F20="","No care start date",IF(IF(K20&lt;&gt;"",K20,EDATE(F20,24))&lt;=TODAY(),IF(I20&lt;&gt;"","Date passed, undertaking","Date passed, not started"),IF(I20&lt;&gt;"","Undertaking, due "&amp;TEXT(IF(K20&lt;&gt;"",K20,EDATE(F20,24)),"dd/mm/yyyy"),"Due by "&amp;TEXT(IF(K20&lt;&gt;"",K20,EDATE(F20,24)),"dd/mm/yyyy"))))))</f>
      </c>
    </row>
    <row r="21">
      <c r="A21" s="6"/>
      <c r="B21" s="9"/>
      <c r="C21" s="9"/>
      <c r="D21" s="9"/>
      <c r="E21" s="9"/>
      <c r="F21" s="9"/>
      <c r="G21" s="9"/>
      <c r="H21" s="9"/>
      <c r="I21" s="9"/>
      <c r="J21" s="9"/>
      <c r="K21" s="9"/>
      <c r="L21" s="9"/>
      <c r="M21" s="6"/>
      <c r="N21" s="12">
        <f>IF(OR(B21&lt;&gt;"Yes",AND(G21&lt;&gt;"",G21&lt;=TODAY())),"",IF(H21&lt;&gt;"","Qualified",IF(F21="","No care start date",IF(IF(K21&lt;&gt;"",K21,EDATE(F21,24))&lt;=TODAY(),IF(I21&lt;&gt;"","Date passed, undertaking","Date passed, not started"),IF(I21&lt;&gt;"","Undertaking, due "&amp;TEXT(IF(K21&lt;&gt;"",K21,EDATE(F21,24)),"dd/mm/yyyy"),"Due by "&amp;TEXT(IF(K21&lt;&gt;"",K21,EDATE(F21,24)),"dd/mm/yyyy"))))))</f>
      </c>
    </row>
    <row r="22">
      <c r="A22" s="6"/>
      <c r="B22" s="9"/>
      <c r="C22" s="9"/>
      <c r="D22" s="9"/>
      <c r="E22" s="9"/>
      <c r="F22" s="9"/>
      <c r="G22" s="9"/>
      <c r="H22" s="9"/>
      <c r="I22" s="9"/>
      <c r="J22" s="9"/>
      <c r="K22" s="9"/>
      <c r="L22" s="9"/>
      <c r="M22" s="6"/>
      <c r="N22" s="12">
        <f>IF(OR(B22&lt;&gt;"Yes",AND(G22&lt;&gt;"",G22&lt;=TODAY())),"",IF(H22&lt;&gt;"","Qualified",IF(F22="","No care start date",IF(IF(K22&lt;&gt;"",K22,EDATE(F22,24))&lt;=TODAY(),IF(I22&lt;&gt;"","Date passed, undertaking","Date passed, not started"),IF(I22&lt;&gt;"","Undertaking, due "&amp;TEXT(IF(K22&lt;&gt;"",K22,EDATE(F22,24)),"dd/mm/yyyy"),"Due by "&amp;TEXT(IF(K22&lt;&gt;"",K22,EDATE(F22,24)),"dd/mm/yyyy"))))))</f>
      </c>
    </row>
    <row r="23">
      <c r="A23" s="6"/>
      <c r="B23" s="9"/>
      <c r="C23" s="9"/>
      <c r="D23" s="9"/>
      <c r="E23" s="9"/>
      <c r="F23" s="9"/>
      <c r="G23" s="9"/>
      <c r="H23" s="9"/>
      <c r="I23" s="9"/>
      <c r="J23" s="9"/>
      <c r="K23" s="9"/>
      <c r="L23" s="9"/>
      <c r="M23" s="6"/>
      <c r="N23" s="12">
        <f>IF(OR(B23&lt;&gt;"Yes",AND(G23&lt;&gt;"",G23&lt;=TODAY())),"",IF(H23&lt;&gt;"","Qualified",IF(F23="","No care start date",IF(IF(K23&lt;&gt;"",K23,EDATE(F23,24))&lt;=TODAY(),IF(I23&lt;&gt;"","Date passed, undertaking","Date passed, not started"),IF(I23&lt;&gt;"","Undertaking, due "&amp;TEXT(IF(K23&lt;&gt;"",K23,EDATE(F23,24)),"dd/mm/yyyy"),"Due by "&amp;TEXT(IF(K23&lt;&gt;"",K23,EDATE(F23,24)),"dd/mm/yyyy"))))))</f>
      </c>
    </row>
    <row r="24">
      <c r="A24" s="6"/>
      <c r="B24" s="9"/>
      <c r="C24" s="9"/>
      <c r="D24" s="9"/>
      <c r="E24" s="9"/>
      <c r="F24" s="9"/>
      <c r="G24" s="9"/>
      <c r="H24" s="9"/>
      <c r="I24" s="9"/>
      <c r="J24" s="9"/>
      <c r="K24" s="9"/>
      <c r="L24" s="9"/>
      <c r="M24" s="6"/>
      <c r="N24" s="12">
        <f>IF(OR(B24&lt;&gt;"Yes",AND(G24&lt;&gt;"",G24&lt;=TODAY())),"",IF(H24&lt;&gt;"","Qualified",IF(F24="","No care start date",IF(IF(K24&lt;&gt;"",K24,EDATE(F24,24))&lt;=TODAY(),IF(I24&lt;&gt;"","Date passed, undertaking","Date passed, not started"),IF(I24&lt;&gt;"","Undertaking, due "&amp;TEXT(IF(K24&lt;&gt;"",K24,EDATE(F24,24)),"dd/mm/yyyy"),"Due by "&amp;TEXT(IF(K24&lt;&gt;"",K24,EDATE(F24,24)),"dd/mm/yyyy"))))))</f>
      </c>
    </row>
    <row r="25">
      <c r="A25" s="6"/>
      <c r="B25" s="9"/>
      <c r="C25" s="9"/>
      <c r="D25" s="9"/>
      <c r="E25" s="9"/>
      <c r="F25" s="9"/>
      <c r="G25" s="9"/>
      <c r="H25" s="9"/>
      <c r="I25" s="9"/>
      <c r="J25" s="9"/>
      <c r="K25" s="9"/>
      <c r="L25" s="9"/>
      <c r="M25" s="6"/>
      <c r="N25" s="12">
        <f>IF(OR(B25&lt;&gt;"Yes",AND(G25&lt;&gt;"",G25&lt;=TODAY())),"",IF(H25&lt;&gt;"","Qualified",IF(F25="","No care start date",IF(IF(K25&lt;&gt;"",K25,EDATE(F25,24))&lt;=TODAY(),IF(I25&lt;&gt;"","Date passed, undertaking","Date passed, not started"),IF(I25&lt;&gt;"","Undertaking, due "&amp;TEXT(IF(K25&lt;&gt;"",K25,EDATE(F25,24)),"dd/mm/yyyy"),"Due by "&amp;TEXT(IF(K25&lt;&gt;"",K25,EDATE(F25,24)),"dd/mm/yyyy"))))))</f>
      </c>
    </row>
    <row r="26">
      <c r="A26" s="6"/>
      <c r="B26" s="9"/>
      <c r="C26" s="9"/>
      <c r="D26" s="9"/>
      <c r="E26" s="9"/>
      <c r="F26" s="9"/>
      <c r="G26" s="9"/>
      <c r="H26" s="9"/>
      <c r="I26" s="9"/>
      <c r="J26" s="9"/>
      <c r="K26" s="9"/>
      <c r="L26" s="9"/>
      <c r="M26" s="6"/>
      <c r="N26" s="12">
        <f>IF(OR(B26&lt;&gt;"Yes",AND(G26&lt;&gt;"",G26&lt;=TODAY())),"",IF(H26&lt;&gt;"","Qualified",IF(F26="","No care start date",IF(IF(K26&lt;&gt;"",K26,EDATE(F26,24))&lt;=TODAY(),IF(I26&lt;&gt;"","Date passed, undertaking","Date passed, not started"),IF(I26&lt;&gt;"","Undertaking, due "&amp;TEXT(IF(K26&lt;&gt;"",K26,EDATE(F26,24)),"dd/mm/yyyy"),"Due by "&amp;TEXT(IF(K26&lt;&gt;"",K26,EDATE(F26,24)),"dd/mm/yyyy"))))))</f>
      </c>
    </row>
    <row r="27">
      <c r="A27" s="6"/>
      <c r="B27" s="9"/>
      <c r="C27" s="9"/>
      <c r="D27" s="9"/>
      <c r="E27" s="9"/>
      <c r="F27" s="9"/>
      <c r="G27" s="9"/>
      <c r="H27" s="9"/>
      <c r="I27" s="9"/>
      <c r="J27" s="9"/>
      <c r="K27" s="9"/>
      <c r="L27" s="9"/>
      <c r="M27" s="6"/>
      <c r="N27" s="12">
        <f>IF(OR(B27&lt;&gt;"Yes",AND(G27&lt;&gt;"",G27&lt;=TODAY())),"",IF(H27&lt;&gt;"","Qualified",IF(F27="","No care start date",IF(IF(K27&lt;&gt;"",K27,EDATE(F27,24))&lt;=TODAY(),IF(I27&lt;&gt;"","Date passed, undertaking","Date passed, not started"),IF(I27&lt;&gt;"","Undertaking, due "&amp;TEXT(IF(K27&lt;&gt;"",K27,EDATE(F27,24)),"dd/mm/yyyy"),"Due by "&amp;TEXT(IF(K27&lt;&gt;"",K27,EDATE(F27,24)),"dd/mm/yyyy"))))))</f>
      </c>
    </row>
    <row r="28">
      <c r="A28" s="6"/>
      <c r="B28" s="9"/>
      <c r="C28" s="9"/>
      <c r="D28" s="9"/>
      <c r="E28" s="9"/>
      <c r="F28" s="9"/>
      <c r="G28" s="9"/>
      <c r="H28" s="9"/>
      <c r="I28" s="9"/>
      <c r="J28" s="9"/>
      <c r="K28" s="9"/>
      <c r="L28" s="9"/>
      <c r="M28" s="6"/>
      <c r="N28" s="12">
        <f>IF(OR(B28&lt;&gt;"Yes",AND(G28&lt;&gt;"",G28&lt;=TODAY())),"",IF(H28&lt;&gt;"","Qualified",IF(F28="","No care start date",IF(IF(K28&lt;&gt;"",K28,EDATE(F28,24))&lt;=TODAY(),IF(I28&lt;&gt;"","Date passed, undertaking","Date passed, not started"),IF(I28&lt;&gt;"","Undertaking, due "&amp;TEXT(IF(K28&lt;&gt;"",K28,EDATE(F28,24)),"dd/mm/yyyy"),"Due by "&amp;TEXT(IF(K28&lt;&gt;"",K28,EDATE(F28,24)),"dd/mm/yyyy"))))))</f>
      </c>
    </row>
    <row r="29">
      <c r="A29" s="6"/>
      <c r="B29" s="9"/>
      <c r="C29" s="9"/>
      <c r="D29" s="9"/>
      <c r="E29" s="9"/>
      <c r="F29" s="9"/>
      <c r="G29" s="9"/>
      <c r="H29" s="9"/>
      <c r="I29" s="9"/>
      <c r="J29" s="9"/>
      <c r="K29" s="9"/>
      <c r="L29" s="9"/>
      <c r="M29" s="6"/>
      <c r="N29" s="12">
        <f>IF(OR(B29&lt;&gt;"Yes",AND(G29&lt;&gt;"",G29&lt;=TODAY())),"",IF(H29&lt;&gt;"","Qualified",IF(F29="","No care start date",IF(IF(K29&lt;&gt;"",K29,EDATE(F29,24))&lt;=TODAY(),IF(I29&lt;&gt;"","Date passed, undertaking","Date passed, not started"),IF(I29&lt;&gt;"","Undertaking, due "&amp;TEXT(IF(K29&lt;&gt;"",K29,EDATE(F29,24)),"dd/mm/yyyy"),"Due by "&amp;TEXT(IF(K29&lt;&gt;"",K29,EDATE(F29,24)),"dd/mm/yyyy"))))))</f>
      </c>
    </row>
    <row r="30">
      <c r="A30" s="6"/>
      <c r="B30" s="9"/>
      <c r="C30" s="9"/>
      <c r="D30" s="9"/>
      <c r="E30" s="9"/>
      <c r="F30" s="9"/>
      <c r="G30" s="9"/>
      <c r="H30" s="9"/>
      <c r="I30" s="9"/>
      <c r="J30" s="9"/>
      <c r="K30" s="9"/>
      <c r="L30" s="9"/>
      <c r="M30" s="6"/>
      <c r="N30" s="12">
        <f>IF(OR(B30&lt;&gt;"Yes",AND(G30&lt;&gt;"",G30&lt;=TODAY())),"",IF(H30&lt;&gt;"","Qualified",IF(F30="","No care start date",IF(IF(K30&lt;&gt;"",K30,EDATE(F30,24))&lt;=TODAY(),IF(I30&lt;&gt;"","Date passed, undertaking","Date passed, not started"),IF(I30&lt;&gt;"","Undertaking, due "&amp;TEXT(IF(K30&lt;&gt;"",K30,EDATE(F30,24)),"dd/mm/yyyy"),"Due by "&amp;TEXT(IF(K30&lt;&gt;"",K30,EDATE(F30,24)),"dd/mm/yyyy"))))))</f>
      </c>
    </row>
    <row r="31">
      <c r="A31" s="6"/>
      <c r="B31" s="9"/>
      <c r="C31" s="9"/>
      <c r="D31" s="9"/>
      <c r="E31" s="9"/>
      <c r="F31" s="9"/>
      <c r="G31" s="9"/>
      <c r="H31" s="9"/>
      <c r="I31" s="9"/>
      <c r="J31" s="9"/>
      <c r="K31" s="9"/>
      <c r="L31" s="9"/>
      <c r="M31" s="6"/>
      <c r="N31" s="12">
        <f>IF(OR(B31&lt;&gt;"Yes",AND(G31&lt;&gt;"",G31&lt;=TODAY())),"",IF(H31&lt;&gt;"","Qualified",IF(F31="","No care start date",IF(IF(K31&lt;&gt;"",K31,EDATE(F31,24))&lt;=TODAY(),IF(I31&lt;&gt;"","Date passed, undertaking","Date passed, not started"),IF(I31&lt;&gt;"","Undertaking, due "&amp;TEXT(IF(K31&lt;&gt;"",K31,EDATE(F31,24)),"dd/mm/yyyy"),"Due by "&amp;TEXT(IF(K31&lt;&gt;"",K31,EDATE(F31,24)),"dd/mm/yyyy"))))))</f>
      </c>
    </row>
    <row r="32">
      <c r="A32" s="6"/>
      <c r="B32" s="9"/>
      <c r="C32" s="9"/>
      <c r="D32" s="9"/>
      <c r="E32" s="9"/>
      <c r="F32" s="9"/>
      <c r="G32" s="9"/>
      <c r="H32" s="9"/>
      <c r="I32" s="9"/>
      <c r="J32" s="9"/>
      <c r="K32" s="9"/>
      <c r="L32" s="9"/>
      <c r="M32" s="6"/>
      <c r="N32" s="12">
        <f>IF(OR(B32&lt;&gt;"Yes",AND(G32&lt;&gt;"",G32&lt;=TODAY())),"",IF(H32&lt;&gt;"","Qualified",IF(F32="","No care start date",IF(IF(K32&lt;&gt;"",K32,EDATE(F32,24))&lt;=TODAY(),IF(I32&lt;&gt;"","Date passed, undertaking","Date passed, not started"),IF(I32&lt;&gt;"","Undertaking, due "&amp;TEXT(IF(K32&lt;&gt;"",K32,EDATE(F32,24)),"dd/mm/yyyy"),"Due by "&amp;TEXT(IF(K32&lt;&gt;"",K32,EDATE(F32,24)),"dd/mm/yyyy"))))))</f>
      </c>
    </row>
    <row r="33">
      <c r="A33" s="6"/>
      <c r="B33" s="9"/>
      <c r="C33" s="9"/>
      <c r="D33" s="9"/>
      <c r="E33" s="9"/>
      <c r="F33" s="9"/>
      <c r="G33" s="9"/>
      <c r="H33" s="9"/>
      <c r="I33" s="9"/>
      <c r="J33" s="9"/>
      <c r="K33" s="9"/>
      <c r="L33" s="9"/>
      <c r="M33" s="6"/>
      <c r="N33" s="12">
        <f>IF(OR(B33&lt;&gt;"Yes",AND(G33&lt;&gt;"",G33&lt;=TODAY())),"",IF(H33&lt;&gt;"","Qualified",IF(F33="","No care start date",IF(IF(K33&lt;&gt;"",K33,EDATE(F33,24))&lt;=TODAY(),IF(I33&lt;&gt;"","Date passed, undertaking","Date passed, not started"),IF(I33&lt;&gt;"","Undertaking, due "&amp;TEXT(IF(K33&lt;&gt;"",K33,EDATE(F33,24)),"dd/mm/yyyy"),"Due by "&amp;TEXT(IF(K33&lt;&gt;"",K33,EDATE(F33,24)),"dd/mm/yyyy"))))))</f>
      </c>
    </row>
    <row r="34">
      <c r="A34" s="6"/>
      <c r="B34" s="9"/>
      <c r="C34" s="9"/>
      <c r="D34" s="9"/>
      <c r="E34" s="9"/>
      <c r="F34" s="9"/>
      <c r="G34" s="9"/>
      <c r="H34" s="9"/>
      <c r="I34" s="9"/>
      <c r="J34" s="9"/>
      <c r="K34" s="9"/>
      <c r="L34" s="9"/>
      <c r="M34" s="6"/>
      <c r="N34" s="12">
        <f>IF(OR(B34&lt;&gt;"Yes",AND(G34&lt;&gt;"",G34&lt;=TODAY())),"",IF(H34&lt;&gt;"","Qualified",IF(F34="","No care start date",IF(IF(K34&lt;&gt;"",K34,EDATE(F34,24))&lt;=TODAY(),IF(I34&lt;&gt;"","Date passed, undertaking","Date passed, not started"),IF(I34&lt;&gt;"","Undertaking, due "&amp;TEXT(IF(K34&lt;&gt;"",K34,EDATE(F34,24)),"dd/mm/yyyy"),"Due by "&amp;TEXT(IF(K34&lt;&gt;"",K34,EDATE(F34,24)),"dd/mm/yyyy"))))))</f>
      </c>
    </row>
    <row r="35">
      <c r="A35" s="6"/>
      <c r="B35" s="9"/>
      <c r="C35" s="9"/>
      <c r="D35" s="9"/>
      <c r="E35" s="9"/>
      <c r="F35" s="9"/>
      <c r="G35" s="9"/>
      <c r="H35" s="9"/>
      <c r="I35" s="9"/>
      <c r="J35" s="9"/>
      <c r="K35" s="9"/>
      <c r="L35" s="9"/>
      <c r="M35" s="6"/>
      <c r="N35" s="12">
        <f>IF(OR(B35&lt;&gt;"Yes",AND(G35&lt;&gt;"",G35&lt;=TODAY())),"",IF(H35&lt;&gt;"","Qualified",IF(F35="","No care start date",IF(IF(K35&lt;&gt;"",K35,EDATE(F35,24))&lt;=TODAY(),IF(I35&lt;&gt;"","Date passed, undertaking","Date passed, not started"),IF(I35&lt;&gt;"","Undertaking, due "&amp;TEXT(IF(K35&lt;&gt;"",K35,EDATE(F35,24)),"dd/mm/yyyy"),"Due by "&amp;TEXT(IF(K35&lt;&gt;"",K35,EDATE(F35,24)),"dd/mm/yyyy"))))))</f>
      </c>
    </row>
    <row r="36">
      <c r="A36" s="6"/>
      <c r="B36" s="9"/>
      <c r="C36" s="9"/>
      <c r="D36" s="9"/>
      <c r="E36" s="9"/>
      <c r="F36" s="9"/>
      <c r="G36" s="9"/>
      <c r="H36" s="9"/>
      <c r="I36" s="9"/>
      <c r="J36" s="9"/>
      <c r="K36" s="9"/>
      <c r="L36" s="9"/>
      <c r="M36" s="6"/>
      <c r="N36" s="12">
        <f>IF(OR(B36&lt;&gt;"Yes",AND(G36&lt;&gt;"",G36&lt;=TODAY())),"",IF(H36&lt;&gt;"","Qualified",IF(F36="","No care start date",IF(IF(K36&lt;&gt;"",K36,EDATE(F36,24))&lt;=TODAY(),IF(I36&lt;&gt;"","Date passed, undertaking","Date passed, not started"),IF(I36&lt;&gt;"","Undertaking, due "&amp;TEXT(IF(K36&lt;&gt;"",K36,EDATE(F36,24)),"dd/mm/yyyy"),"Due by "&amp;TEXT(IF(K36&lt;&gt;"",K36,EDATE(F36,24)),"dd/mm/yyyy"))))))</f>
      </c>
    </row>
    <row r="37">
      <c r="A37" s="6"/>
      <c r="B37" s="9"/>
      <c r="C37" s="9"/>
      <c r="D37" s="9"/>
      <c r="E37" s="9"/>
      <c r="F37" s="9"/>
      <c r="G37" s="9"/>
      <c r="H37" s="9"/>
      <c r="I37" s="9"/>
      <c r="J37" s="9"/>
      <c r="K37" s="9"/>
      <c r="L37" s="9"/>
      <c r="M37" s="6"/>
      <c r="N37" s="12">
        <f>IF(OR(B37&lt;&gt;"Yes",AND(G37&lt;&gt;"",G37&lt;=TODAY())),"",IF(H37&lt;&gt;"","Qualified",IF(F37="","No care start date",IF(IF(K37&lt;&gt;"",K37,EDATE(F37,24))&lt;=TODAY(),IF(I37&lt;&gt;"","Date passed, undertaking","Date passed, not started"),IF(I37&lt;&gt;"","Undertaking, due "&amp;TEXT(IF(K37&lt;&gt;"",K37,EDATE(F37,24)),"dd/mm/yyyy"),"Due by "&amp;TEXT(IF(K37&lt;&gt;"",K37,EDATE(F37,24)),"dd/mm/yyyy"))))))</f>
      </c>
    </row>
    <row r="38">
      <c r="A38" s="6"/>
      <c r="B38" s="9"/>
      <c r="C38" s="9"/>
      <c r="D38" s="9"/>
      <c r="E38" s="9"/>
      <c r="F38" s="9"/>
      <c r="G38" s="9"/>
      <c r="H38" s="9"/>
      <c r="I38" s="9"/>
      <c r="J38" s="9"/>
      <c r="K38" s="9"/>
      <c r="L38" s="9"/>
      <c r="M38" s="6"/>
      <c r="N38" s="12">
        <f>IF(OR(B38&lt;&gt;"Yes",AND(G38&lt;&gt;"",G38&lt;=TODAY())),"",IF(H38&lt;&gt;"","Qualified",IF(F38="","No care start date",IF(IF(K38&lt;&gt;"",K38,EDATE(F38,24))&lt;=TODAY(),IF(I38&lt;&gt;"","Date passed, undertaking","Date passed, not started"),IF(I38&lt;&gt;"","Undertaking, due "&amp;TEXT(IF(K38&lt;&gt;"",K38,EDATE(F38,24)),"dd/mm/yyyy"),"Due by "&amp;TEXT(IF(K38&lt;&gt;"",K38,EDATE(F38,24)),"dd/mm/yyyy"))))))</f>
      </c>
    </row>
    <row r="39">
      <c r="A39" s="6"/>
      <c r="B39" s="9"/>
      <c r="C39" s="9"/>
      <c r="D39" s="9"/>
      <c r="E39" s="9"/>
      <c r="F39" s="9"/>
      <c r="G39" s="9"/>
      <c r="H39" s="9"/>
      <c r="I39" s="9"/>
      <c r="J39" s="9"/>
      <c r="K39" s="9"/>
      <c r="L39" s="9"/>
      <c r="M39" s="6"/>
      <c r="N39" s="12">
        <f>IF(OR(B39&lt;&gt;"Yes",AND(G39&lt;&gt;"",G39&lt;=TODAY())),"",IF(H39&lt;&gt;"","Qualified",IF(F39="","No care start date",IF(IF(K39&lt;&gt;"",K39,EDATE(F39,24))&lt;=TODAY(),IF(I39&lt;&gt;"","Date passed, undertaking","Date passed, not started"),IF(I39&lt;&gt;"","Undertaking, due "&amp;TEXT(IF(K39&lt;&gt;"",K39,EDATE(F39,24)),"dd/mm/yyyy"),"Due by "&amp;TEXT(IF(K39&lt;&gt;"",K39,EDATE(F39,24)),"dd/mm/yyyy"))))))</f>
      </c>
    </row>
    <row r="40">
      <c r="A40" s="6"/>
      <c r="B40" s="9"/>
      <c r="C40" s="9"/>
      <c r="D40" s="9"/>
      <c r="E40" s="9"/>
      <c r="F40" s="9"/>
      <c r="G40" s="9"/>
      <c r="H40" s="9"/>
      <c r="I40" s="9"/>
      <c r="J40" s="9"/>
      <c r="K40" s="9"/>
      <c r="L40" s="9"/>
      <c r="M40" s="6"/>
      <c r="N40" s="12">
        <f>IF(OR(B40&lt;&gt;"Yes",AND(G40&lt;&gt;"",G40&lt;=TODAY())),"",IF(H40&lt;&gt;"","Qualified",IF(F40="","No care start date",IF(IF(K40&lt;&gt;"",K40,EDATE(F40,24))&lt;=TODAY(),IF(I40&lt;&gt;"","Date passed, undertaking","Date passed, not started"),IF(I40&lt;&gt;"","Undertaking, due "&amp;TEXT(IF(K40&lt;&gt;"",K40,EDATE(F40,24)),"dd/mm/yyyy"),"Due by "&amp;TEXT(IF(K40&lt;&gt;"",K40,EDATE(F40,24)),"dd/mm/yyyy"))))))</f>
      </c>
    </row>
    <row r="41">
      <c r="A41" s="6"/>
      <c r="B41" s="9"/>
      <c r="C41" s="9"/>
      <c r="D41" s="9"/>
      <c r="E41" s="9"/>
      <c r="F41" s="9"/>
      <c r="G41" s="9"/>
      <c r="H41" s="9"/>
      <c r="I41" s="9"/>
      <c r="J41" s="9"/>
      <c r="K41" s="9"/>
      <c r="L41" s="9"/>
      <c r="M41" s="6"/>
      <c r="N41" s="12">
        <f>IF(OR(B41&lt;&gt;"Yes",AND(G41&lt;&gt;"",G41&lt;=TODAY())),"",IF(H41&lt;&gt;"","Qualified",IF(F41="","No care start date",IF(IF(K41&lt;&gt;"",K41,EDATE(F41,24))&lt;=TODAY(),IF(I41&lt;&gt;"","Date passed, undertaking","Date passed, not started"),IF(I41&lt;&gt;"","Undertaking, due "&amp;TEXT(IF(K41&lt;&gt;"",K41,EDATE(F41,24)),"dd/mm/yyyy"),"Due by "&amp;TEXT(IF(K41&lt;&gt;"",K41,EDATE(F41,24)),"dd/mm/yyyy"))))))</f>
      </c>
    </row>
    <row r="42">
      <c r="A42" s="6"/>
      <c r="B42" s="9"/>
      <c r="C42" s="9"/>
      <c r="D42" s="9"/>
      <c r="E42" s="9"/>
      <c r="F42" s="9"/>
      <c r="G42" s="9"/>
      <c r="H42" s="9"/>
      <c r="I42" s="9"/>
      <c r="J42" s="9"/>
      <c r="K42" s="9"/>
      <c r="L42" s="9"/>
      <c r="M42" s="6"/>
      <c r="N42" s="12">
        <f>IF(OR(B42&lt;&gt;"Yes",AND(G42&lt;&gt;"",G42&lt;=TODAY())),"",IF(H42&lt;&gt;"","Qualified",IF(F42="","No care start date",IF(IF(K42&lt;&gt;"",K42,EDATE(F42,24))&lt;=TODAY(),IF(I42&lt;&gt;"","Date passed, undertaking","Date passed, not started"),IF(I42&lt;&gt;"","Undertaking, due "&amp;TEXT(IF(K42&lt;&gt;"",K42,EDATE(F42,24)),"dd/mm/yyyy"),"Due by "&amp;TEXT(IF(K42&lt;&gt;"",K42,EDATE(F42,24)),"dd/mm/yyyy"))))))</f>
      </c>
    </row>
    <row r="43">
      <c r="A43" s="6"/>
      <c r="B43" s="9"/>
      <c r="C43" s="9"/>
      <c r="D43" s="9"/>
      <c r="E43" s="9"/>
      <c r="F43" s="9"/>
      <c r="G43" s="9"/>
      <c r="H43" s="9"/>
      <c r="I43" s="9"/>
      <c r="J43" s="9"/>
      <c r="K43" s="9"/>
      <c r="L43" s="9"/>
      <c r="M43" s="6"/>
      <c r="N43" s="12">
        <f>IF(OR(B43&lt;&gt;"Yes",AND(G43&lt;&gt;"",G43&lt;=TODAY())),"",IF(H43&lt;&gt;"","Qualified",IF(F43="","No care start date",IF(IF(K43&lt;&gt;"",K43,EDATE(F43,24))&lt;=TODAY(),IF(I43&lt;&gt;"","Date passed, undertaking","Date passed, not started"),IF(I43&lt;&gt;"","Undertaking, due "&amp;TEXT(IF(K43&lt;&gt;"",K43,EDATE(F43,24)),"dd/mm/yyyy"),"Due by "&amp;TEXT(IF(K43&lt;&gt;"",K43,EDATE(F43,24)),"dd/mm/yyyy"))))))</f>
      </c>
    </row>
    <row r="44">
      <c r="A44" s="6"/>
      <c r="B44" s="9"/>
      <c r="C44" s="9"/>
      <c r="D44" s="9"/>
      <c r="E44" s="9"/>
      <c r="F44" s="9"/>
      <c r="G44" s="9"/>
      <c r="H44" s="9"/>
      <c r="I44" s="9"/>
      <c r="J44" s="9"/>
      <c r="K44" s="9"/>
      <c r="L44" s="9"/>
      <c r="M44" s="6"/>
      <c r="N44" s="12">
        <f>IF(OR(B44&lt;&gt;"Yes",AND(G44&lt;&gt;"",G44&lt;=TODAY())),"",IF(H44&lt;&gt;"","Qualified",IF(F44="","No care start date",IF(IF(K44&lt;&gt;"",K44,EDATE(F44,24))&lt;=TODAY(),IF(I44&lt;&gt;"","Date passed, undertaking","Date passed, not started"),IF(I44&lt;&gt;"","Undertaking, due "&amp;TEXT(IF(K44&lt;&gt;"",K44,EDATE(F44,24)),"dd/mm/yyyy"),"Due by "&amp;TEXT(IF(K44&lt;&gt;"",K44,EDATE(F44,24)),"dd/mm/yyyy"))))))</f>
      </c>
    </row>
    <row r="45">
      <c r="A45" s="6"/>
      <c r="B45" s="9"/>
      <c r="C45" s="9"/>
      <c r="D45" s="9"/>
      <c r="E45" s="9"/>
      <c r="F45" s="9"/>
      <c r="G45" s="9"/>
      <c r="H45" s="9"/>
      <c r="I45" s="9"/>
      <c r="J45" s="9"/>
      <c r="K45" s="9"/>
      <c r="L45" s="9"/>
      <c r="M45" s="6"/>
      <c r="N45" s="12">
        <f>IF(OR(B45&lt;&gt;"Yes",AND(G45&lt;&gt;"",G45&lt;=TODAY())),"",IF(H45&lt;&gt;"","Qualified",IF(F45="","No care start date",IF(IF(K45&lt;&gt;"",K45,EDATE(F45,24))&lt;=TODAY(),IF(I45&lt;&gt;"","Date passed, undertaking","Date passed, not started"),IF(I45&lt;&gt;"","Undertaking, due "&amp;TEXT(IF(K45&lt;&gt;"",K45,EDATE(F45,24)),"dd/mm/yyyy"),"Due by "&amp;TEXT(IF(K45&lt;&gt;"",K45,EDATE(F45,24)),"dd/mm/yyyy"))))))</f>
      </c>
    </row>
  </sheetData>
  <mergeCells count="3">
    <mergeCell ref="A1:D1"/>
    <mergeCell ref="A2:N2"/>
    <mergeCell ref="A5:N5"/>
  </mergeCells>
  <conditionalFormatting sqref="L6:L45">
    <cfRule type="expression" dxfId="0" priority="1">
      <formula>AND(L6&lt;&gt;"",L6&lt;TODAY())</formula>
    </cfRule>
    <cfRule type="expression" dxfId="1" priority="2">
      <formula>AND(L6&lt;&gt;"",L6&lt;TODAY()+60)</formula>
    </cfRule>
    <cfRule type="expression" dxfId="2" priority="3">
      <formula>AND(L6&lt;&gt;"",L6&gt;=TODAY()+60)</formula>
    </cfRule>
  </conditionalFormatting>
  <conditionalFormatting sqref="N6:N45">
    <cfRule type="expression" dxfId="0" priority="4">
      <formula>N6="Date passed, not started"</formula>
    </cfRule>
    <cfRule type="expression" dxfId="1" priority="5">
      <formula>N6="Date passed, undertaking"</formula>
    </cfRule>
    <cfRule type="expression" dxfId="2" priority="6">
      <formula>N6="Qualified"</formula>
    </cfRule>
  </conditionalFormatting>
  <pageMargins left="0.4" right="0.4" top="0.5" bottom="0.5" header="0.3" footer="0.3"/>
  <pageSetup paperSize="9" orientation="landscape" fitToWidth="1" fitToHeight="0"/>
</worksheet>
</file>

<file path=xl/worksheets/sheet4.xml><?xml version="1.0" encoding="utf-8"?>
<worksheet xmlns="http://schemas.openxmlformats.org/spreadsheetml/2006/main">
  <sheetPr>
    <tabColor rgb="FF0D5C45"/>
    <pageSetUpPr fitToPage="1"/>
  </sheetPr>
  <sheetViews>
    <sheetView showGridLines="0" workbookViewId="0">
      <pane ySplit="5" topLeftCell="A6" activePane="bottomLeft" state="frozen"/>
    </sheetView>
  </sheetViews>
  <sheetFormatPr defaultRowHeight="15"/>
  <cols>
    <col min="1" max="1" width="12" customWidth="1"/>
    <col min="2" max="2" width="26" customWidth="1"/>
    <col min="3" max="3" width="22" customWidth="1"/>
    <col min="4" max="4" width="12" customWidth="1"/>
    <col min="5" max="5" width="30" customWidth="1"/>
  </cols>
  <sheetData>
    <row r="1" ht="24" customHeight="1">
      <c r="A1" s="1" t="inlineStr">
        <is>
          <t>Agency shifts</t>
        </is>
      </c>
    </row>
    <row r="2" ht="30" customHeight="1">
      <c r="A2" s="8" t="inlineStr">
        <is>
          <t>One line each time an agency or other non-permanent person covers a care shift. The form asks for the number of times and the number of different people since the last full inspection; both count themselves on the Annex A tab, up to the counting date.</t>
        </is>
      </c>
    </row>
    <row r="3"/>
    <row r="4" ht="30" customHeight="1">
      <c r="A4" s="4" t="inlineStr">
        <is>
          <t>Date</t>
        </is>
      </c>
      <c r="B4" s="4" t="inlineStr">
        <is>
          <t>Person</t>
        </is>
      </c>
      <c r="C4" s="4" t="inlineStr">
        <is>
          <t>Agency</t>
        </is>
      </c>
      <c r="D4" s="4" t="inlineStr">
        <is>
          <t>Shift</t>
        </is>
      </c>
      <c r="E4" s="4" t="inlineStr">
        <is>
          <t>Notes</t>
        </is>
      </c>
    </row>
    <row r="5">
      <c r="A5" s="15" t="inlineStr">
        <is>
          <t>Spell a person's name the same way each time; the count of different people relies on it.</t>
        </is>
      </c>
    </row>
    <row r="6">
      <c r="A6" s="16">
        <v>46252</v>
      </c>
      <c r="B6" s="10" t="inlineStr">
        <is>
          <t>Example, overtype or delete me</t>
        </is>
      </c>
      <c r="C6" s="6" t="inlineStr">
        <is>
          <t>Agency name</t>
        </is>
      </c>
      <c r="D6" s="6" t="inlineStr">
        <is>
          <t>Night</t>
        </is>
      </c>
      <c r="E6" s="6"/>
    </row>
    <row r="7">
      <c r="A7" s="9"/>
      <c r="B7" s="6"/>
      <c r="C7" s="6"/>
      <c r="D7" s="6"/>
      <c r="E7" s="6"/>
    </row>
    <row r="8">
      <c r="A8" s="9"/>
      <c r="B8" s="6"/>
      <c r="C8" s="6"/>
      <c r="D8" s="6"/>
      <c r="E8" s="6"/>
    </row>
    <row r="9">
      <c r="A9" s="9"/>
      <c r="B9" s="6"/>
      <c r="C9" s="6"/>
      <c r="D9" s="6"/>
      <c r="E9" s="6"/>
    </row>
    <row r="10">
      <c r="A10" s="9"/>
      <c r="B10" s="6"/>
      <c r="C10" s="6"/>
      <c r="D10" s="6"/>
      <c r="E10" s="6"/>
    </row>
    <row r="11">
      <c r="A11" s="9"/>
      <c r="B11" s="6"/>
      <c r="C11" s="6"/>
      <c r="D11" s="6"/>
      <c r="E11" s="6"/>
    </row>
    <row r="12">
      <c r="A12" s="9"/>
      <c r="B12" s="6"/>
      <c r="C12" s="6"/>
      <c r="D12" s="6"/>
      <c r="E12" s="6"/>
    </row>
    <row r="13">
      <c r="A13" s="9"/>
      <c r="B13" s="6"/>
      <c r="C13" s="6"/>
      <c r="D13" s="6"/>
      <c r="E13" s="6"/>
    </row>
    <row r="14">
      <c r="A14" s="9"/>
      <c r="B14" s="6"/>
      <c r="C14" s="6"/>
      <c r="D14" s="6"/>
      <c r="E14" s="6"/>
    </row>
    <row r="15">
      <c r="A15" s="9"/>
      <c r="B15" s="6"/>
      <c r="C15" s="6"/>
      <c r="D15" s="6"/>
      <c r="E15" s="6"/>
    </row>
    <row r="16">
      <c r="A16" s="9"/>
      <c r="B16" s="6"/>
      <c r="C16" s="6"/>
      <c r="D16" s="6"/>
      <c r="E16" s="6"/>
    </row>
    <row r="17">
      <c r="A17" s="9"/>
      <c r="B17" s="6"/>
      <c r="C17" s="6"/>
      <c r="D17" s="6"/>
      <c r="E17" s="6"/>
    </row>
    <row r="18">
      <c r="A18" s="9"/>
      <c r="B18" s="6"/>
      <c r="C18" s="6"/>
      <c r="D18" s="6"/>
      <c r="E18" s="6"/>
    </row>
    <row r="19">
      <c r="A19" s="9"/>
      <c r="B19" s="6"/>
      <c r="C19" s="6"/>
      <c r="D19" s="6"/>
      <c r="E19" s="6"/>
    </row>
    <row r="20">
      <c r="A20" s="9"/>
      <c r="B20" s="6"/>
      <c r="C20" s="6"/>
      <c r="D20" s="6"/>
      <c r="E20" s="6"/>
    </row>
    <row r="21">
      <c r="A21" s="9"/>
      <c r="B21" s="6"/>
      <c r="C21" s="6"/>
      <c r="D21" s="6"/>
      <c r="E21" s="6"/>
    </row>
    <row r="22">
      <c r="A22" s="9"/>
      <c r="B22" s="6"/>
      <c r="C22" s="6"/>
      <c r="D22" s="6"/>
      <c r="E22" s="6"/>
    </row>
    <row r="23">
      <c r="A23" s="9"/>
      <c r="B23" s="6"/>
      <c r="C23" s="6"/>
      <c r="D23" s="6"/>
      <c r="E23" s="6"/>
    </row>
    <row r="24">
      <c r="A24" s="9"/>
      <c r="B24" s="6"/>
      <c r="C24" s="6"/>
      <c r="D24" s="6"/>
      <c r="E24" s="6"/>
    </row>
    <row r="25">
      <c r="A25" s="9"/>
      <c r="B25" s="6"/>
      <c r="C25" s="6"/>
      <c r="D25" s="6"/>
      <c r="E25" s="6"/>
    </row>
    <row r="26">
      <c r="A26" s="9"/>
      <c r="B26" s="6"/>
      <c r="C26" s="6"/>
      <c r="D26" s="6"/>
      <c r="E26" s="6"/>
    </row>
    <row r="27">
      <c r="A27" s="9"/>
      <c r="B27" s="6"/>
      <c r="C27" s="6"/>
      <c r="D27" s="6"/>
      <c r="E27" s="6"/>
    </row>
    <row r="28">
      <c r="A28" s="9"/>
      <c r="B28" s="6"/>
      <c r="C28" s="6"/>
      <c r="D28" s="6"/>
      <c r="E28" s="6"/>
    </row>
    <row r="29">
      <c r="A29" s="9"/>
      <c r="B29" s="6"/>
      <c r="C29" s="6"/>
      <c r="D29" s="6"/>
      <c r="E29" s="6"/>
    </row>
    <row r="30">
      <c r="A30" s="9"/>
      <c r="B30" s="6"/>
      <c r="C30" s="6"/>
      <c r="D30" s="6"/>
      <c r="E30" s="6"/>
    </row>
    <row r="31">
      <c r="A31" s="9"/>
      <c r="B31" s="6"/>
      <c r="C31" s="6"/>
      <c r="D31" s="6"/>
      <c r="E31" s="6"/>
    </row>
    <row r="32">
      <c r="A32" s="9"/>
      <c r="B32" s="6"/>
      <c r="C32" s="6"/>
      <c r="D32" s="6"/>
      <c r="E32" s="6"/>
    </row>
    <row r="33">
      <c r="A33" s="9"/>
      <c r="B33" s="6"/>
      <c r="C33" s="6"/>
      <c r="D33" s="6"/>
      <c r="E33" s="6"/>
    </row>
    <row r="34">
      <c r="A34" s="9"/>
      <c r="B34" s="6"/>
      <c r="C34" s="6"/>
      <c r="D34" s="6"/>
      <c r="E34" s="6"/>
    </row>
    <row r="35">
      <c r="A35" s="9"/>
      <c r="B35" s="6"/>
      <c r="C35" s="6"/>
      <c r="D35" s="6"/>
      <c r="E35" s="6"/>
    </row>
    <row r="36">
      <c r="A36" s="9"/>
      <c r="B36" s="6"/>
      <c r="C36" s="6"/>
      <c r="D36" s="6"/>
      <c r="E36" s="6"/>
    </row>
    <row r="37">
      <c r="A37" s="9"/>
      <c r="B37" s="6"/>
      <c r="C37" s="6"/>
      <c r="D37" s="6"/>
      <c r="E37" s="6"/>
    </row>
    <row r="38">
      <c r="A38" s="9"/>
      <c r="B38" s="6"/>
      <c r="C38" s="6"/>
      <c r="D38" s="6"/>
      <c r="E38" s="6"/>
    </row>
    <row r="39">
      <c r="A39" s="9"/>
      <c r="B39" s="6"/>
      <c r="C39" s="6"/>
      <c r="D39" s="6"/>
      <c r="E39" s="6"/>
    </row>
    <row r="40">
      <c r="A40" s="9"/>
      <c r="B40" s="6"/>
      <c r="C40" s="6"/>
      <c r="D40" s="6"/>
      <c r="E40" s="6"/>
    </row>
    <row r="41">
      <c r="A41" s="9"/>
      <c r="B41" s="6"/>
      <c r="C41" s="6"/>
      <c r="D41" s="6"/>
      <c r="E41" s="6"/>
    </row>
    <row r="42">
      <c r="A42" s="9"/>
      <c r="B42" s="6"/>
      <c r="C42" s="6"/>
      <c r="D42" s="6"/>
      <c r="E42" s="6"/>
    </row>
    <row r="43">
      <c r="A43" s="9"/>
      <c r="B43" s="6"/>
      <c r="C43" s="6"/>
      <c r="D43" s="6"/>
      <c r="E43" s="6"/>
    </row>
    <row r="44">
      <c r="A44" s="9"/>
      <c r="B44" s="6"/>
      <c r="C44" s="6"/>
      <c r="D44" s="6"/>
      <c r="E44" s="6"/>
    </row>
    <row r="45">
      <c r="A45" s="9"/>
      <c r="B45" s="6"/>
      <c r="C45" s="6"/>
      <c r="D45" s="6"/>
      <c r="E45" s="6"/>
    </row>
    <row r="46">
      <c r="A46" s="9"/>
      <c r="B46" s="6"/>
      <c r="C46" s="6"/>
      <c r="D46" s="6"/>
      <c r="E46" s="6"/>
    </row>
    <row r="47">
      <c r="A47" s="9"/>
      <c r="B47" s="6"/>
      <c r="C47" s="6"/>
      <c r="D47" s="6"/>
      <c r="E47" s="6"/>
    </row>
    <row r="48">
      <c r="A48" s="9"/>
      <c r="B48" s="6"/>
      <c r="C48" s="6"/>
      <c r="D48" s="6"/>
      <c r="E48" s="6"/>
    </row>
    <row r="49">
      <c r="A49" s="9"/>
      <c r="B49" s="6"/>
      <c r="C49" s="6"/>
      <c r="D49" s="6"/>
      <c r="E49" s="6"/>
    </row>
    <row r="50">
      <c r="A50" s="9"/>
      <c r="B50" s="6"/>
      <c r="C50" s="6"/>
      <c r="D50" s="6"/>
      <c r="E50" s="6"/>
    </row>
    <row r="51">
      <c r="A51" s="9"/>
      <c r="B51" s="6"/>
      <c r="C51" s="6"/>
      <c r="D51" s="6"/>
      <c r="E51" s="6"/>
    </row>
    <row r="52">
      <c r="A52" s="9"/>
      <c r="B52" s="6"/>
      <c r="C52" s="6"/>
      <c r="D52" s="6"/>
      <c r="E52" s="6"/>
    </row>
    <row r="53">
      <c r="A53" s="9"/>
      <c r="B53" s="6"/>
      <c r="C53" s="6"/>
      <c r="D53" s="6"/>
      <c r="E53" s="6"/>
    </row>
    <row r="54">
      <c r="A54" s="9"/>
      <c r="B54" s="6"/>
      <c r="C54" s="6"/>
      <c r="D54" s="6"/>
      <c r="E54" s="6"/>
    </row>
    <row r="55">
      <c r="A55" s="9"/>
      <c r="B55" s="6"/>
      <c r="C55" s="6"/>
      <c r="D55" s="6"/>
      <c r="E55" s="6"/>
    </row>
    <row r="56">
      <c r="A56" s="9"/>
      <c r="B56" s="6"/>
      <c r="C56" s="6"/>
      <c r="D56" s="6"/>
      <c r="E56" s="6"/>
    </row>
    <row r="57">
      <c r="A57" s="9"/>
      <c r="B57" s="6"/>
      <c r="C57" s="6"/>
      <c r="D57" s="6"/>
      <c r="E57" s="6"/>
    </row>
    <row r="58">
      <c r="A58" s="9"/>
      <c r="B58" s="6"/>
      <c r="C58" s="6"/>
      <c r="D58" s="6"/>
      <c r="E58" s="6"/>
    </row>
    <row r="59">
      <c r="A59" s="9"/>
      <c r="B59" s="6"/>
      <c r="C59" s="6"/>
      <c r="D59" s="6"/>
      <c r="E59" s="6"/>
    </row>
    <row r="60">
      <c r="A60" s="9"/>
      <c r="B60" s="6"/>
      <c r="C60" s="6"/>
      <c r="D60" s="6"/>
      <c r="E60" s="6"/>
    </row>
    <row r="61">
      <c r="A61" s="9"/>
      <c r="B61" s="6"/>
      <c r="C61" s="6"/>
      <c r="D61" s="6"/>
      <c r="E61" s="6"/>
    </row>
    <row r="62">
      <c r="A62" s="9"/>
      <c r="B62" s="6"/>
      <c r="C62" s="6"/>
      <c r="D62" s="6"/>
      <c r="E62" s="6"/>
    </row>
    <row r="63">
      <c r="A63" s="9"/>
      <c r="B63" s="6"/>
      <c r="C63" s="6"/>
      <c r="D63" s="6"/>
      <c r="E63" s="6"/>
    </row>
    <row r="64">
      <c r="A64" s="9"/>
      <c r="B64" s="6"/>
      <c r="C64" s="6"/>
      <c r="D64" s="6"/>
      <c r="E64" s="6"/>
    </row>
    <row r="65">
      <c r="A65" s="9"/>
      <c r="B65" s="6"/>
      <c r="C65" s="6"/>
      <c r="D65" s="6"/>
      <c r="E65" s="6"/>
    </row>
    <row r="66">
      <c r="A66" s="9"/>
      <c r="B66" s="6"/>
      <c r="C66" s="6"/>
      <c r="D66" s="6"/>
      <c r="E66" s="6"/>
    </row>
    <row r="67">
      <c r="A67" s="9"/>
      <c r="B67" s="6"/>
      <c r="C67" s="6"/>
      <c r="D67" s="6"/>
      <c r="E67" s="6"/>
    </row>
    <row r="68">
      <c r="A68" s="9"/>
      <c r="B68" s="6"/>
      <c r="C68" s="6"/>
      <c r="D68" s="6"/>
      <c r="E68" s="6"/>
    </row>
    <row r="69">
      <c r="A69" s="9"/>
      <c r="B69" s="6"/>
      <c r="C69" s="6"/>
      <c r="D69" s="6"/>
      <c r="E69" s="6"/>
    </row>
    <row r="70">
      <c r="A70" s="9"/>
      <c r="B70" s="6"/>
      <c r="C70" s="6"/>
      <c r="D70" s="6"/>
      <c r="E70" s="6"/>
    </row>
    <row r="71">
      <c r="A71" s="9"/>
      <c r="B71" s="6"/>
      <c r="C71" s="6"/>
      <c r="D71" s="6"/>
      <c r="E71" s="6"/>
    </row>
    <row r="72">
      <c r="A72" s="9"/>
      <c r="B72" s="6"/>
      <c r="C72" s="6"/>
      <c r="D72" s="6"/>
      <c r="E72" s="6"/>
    </row>
    <row r="73">
      <c r="A73" s="9"/>
      <c r="B73" s="6"/>
      <c r="C73" s="6"/>
      <c r="D73" s="6"/>
      <c r="E73" s="6"/>
    </row>
    <row r="74">
      <c r="A74" s="9"/>
      <c r="B74" s="6"/>
      <c r="C74" s="6"/>
      <c r="D74" s="6"/>
      <c r="E74" s="6"/>
    </row>
    <row r="75">
      <c r="A75" s="9"/>
      <c r="B75" s="6"/>
      <c r="C75" s="6"/>
      <c r="D75" s="6"/>
      <c r="E75" s="6"/>
    </row>
    <row r="76">
      <c r="A76" s="9"/>
      <c r="B76" s="6"/>
      <c r="C76" s="6"/>
      <c r="D76" s="6"/>
      <c r="E76" s="6"/>
    </row>
    <row r="77">
      <c r="A77" s="9"/>
      <c r="B77" s="6"/>
      <c r="C77" s="6"/>
      <c r="D77" s="6"/>
      <c r="E77" s="6"/>
    </row>
    <row r="78">
      <c r="A78" s="9"/>
      <c r="B78" s="6"/>
      <c r="C78" s="6"/>
      <c r="D78" s="6"/>
      <c r="E78" s="6"/>
    </row>
    <row r="79">
      <c r="A79" s="9"/>
      <c r="B79" s="6"/>
      <c r="C79" s="6"/>
      <c r="D79" s="6"/>
      <c r="E79" s="6"/>
    </row>
    <row r="80">
      <c r="A80" s="9"/>
      <c r="B80" s="6"/>
      <c r="C80" s="6"/>
      <c r="D80" s="6"/>
      <c r="E80" s="6"/>
    </row>
    <row r="81">
      <c r="A81" s="9"/>
      <c r="B81" s="6"/>
      <c r="C81" s="6"/>
      <c r="D81" s="6"/>
      <c r="E81" s="6"/>
    </row>
    <row r="82">
      <c r="A82" s="9"/>
      <c r="B82" s="6"/>
      <c r="C82" s="6"/>
      <c r="D82" s="6"/>
      <c r="E82" s="6"/>
    </row>
    <row r="83">
      <c r="A83" s="9"/>
      <c r="B83" s="6"/>
      <c r="C83" s="6"/>
      <c r="D83" s="6"/>
      <c r="E83" s="6"/>
    </row>
    <row r="84">
      <c r="A84" s="9"/>
      <c r="B84" s="6"/>
      <c r="C84" s="6"/>
      <c r="D84" s="6"/>
      <c r="E84" s="6"/>
    </row>
    <row r="85">
      <c r="A85" s="9"/>
      <c r="B85" s="6"/>
      <c r="C85" s="6"/>
      <c r="D85" s="6"/>
      <c r="E85" s="6"/>
    </row>
    <row r="86">
      <c r="A86" s="9"/>
      <c r="B86" s="6"/>
      <c r="C86" s="6"/>
      <c r="D86" s="6"/>
      <c r="E86" s="6"/>
    </row>
    <row r="87">
      <c r="A87" s="9"/>
      <c r="B87" s="6"/>
      <c r="C87" s="6"/>
      <c r="D87" s="6"/>
      <c r="E87" s="6"/>
    </row>
    <row r="88">
      <c r="A88" s="9"/>
      <c r="B88" s="6"/>
      <c r="C88" s="6"/>
      <c r="D88" s="6"/>
      <c r="E88" s="6"/>
    </row>
    <row r="89">
      <c r="A89" s="9"/>
      <c r="B89" s="6"/>
      <c r="C89" s="6"/>
      <c r="D89" s="6"/>
      <c r="E89" s="6"/>
    </row>
    <row r="90">
      <c r="A90" s="9"/>
      <c r="B90" s="6"/>
      <c r="C90" s="6"/>
      <c r="D90" s="6"/>
      <c r="E90" s="6"/>
    </row>
    <row r="91">
      <c r="A91" s="9"/>
      <c r="B91" s="6"/>
      <c r="C91" s="6"/>
      <c r="D91" s="6"/>
      <c r="E91" s="6"/>
    </row>
    <row r="92">
      <c r="A92" s="9"/>
      <c r="B92" s="6"/>
      <c r="C92" s="6"/>
      <c r="D92" s="6"/>
      <c r="E92" s="6"/>
    </row>
    <row r="93">
      <c r="A93" s="9"/>
      <c r="B93" s="6"/>
      <c r="C93" s="6"/>
      <c r="D93" s="6"/>
      <c r="E93" s="6"/>
    </row>
    <row r="94">
      <c r="A94" s="9"/>
      <c r="B94" s="6"/>
      <c r="C94" s="6"/>
      <c r="D94" s="6"/>
      <c r="E94" s="6"/>
    </row>
    <row r="95">
      <c r="A95" s="9"/>
      <c r="B95" s="6"/>
      <c r="C95" s="6"/>
      <c r="D95" s="6"/>
      <c r="E95" s="6"/>
    </row>
    <row r="96">
      <c r="A96" s="9"/>
      <c r="B96" s="6"/>
      <c r="C96" s="6"/>
      <c r="D96" s="6"/>
      <c r="E96" s="6"/>
    </row>
    <row r="97">
      <c r="A97" s="9"/>
      <c r="B97" s="6"/>
      <c r="C97" s="6"/>
      <c r="D97" s="6"/>
      <c r="E97" s="6"/>
    </row>
    <row r="98">
      <c r="A98" s="9"/>
      <c r="B98" s="6"/>
      <c r="C98" s="6"/>
      <c r="D98" s="6"/>
      <c r="E98" s="6"/>
    </row>
    <row r="99">
      <c r="A99" s="9"/>
      <c r="B99" s="6"/>
      <c r="C99" s="6"/>
      <c r="D99" s="6"/>
      <c r="E99" s="6"/>
    </row>
    <row r="100">
      <c r="A100" s="9"/>
      <c r="B100" s="6"/>
      <c r="C100" s="6"/>
      <c r="D100" s="6"/>
      <c r="E100" s="6"/>
    </row>
    <row r="101">
      <c r="A101" s="9"/>
      <c r="B101" s="6"/>
      <c r="C101" s="6"/>
      <c r="D101" s="6"/>
      <c r="E101" s="6"/>
    </row>
    <row r="102">
      <c r="A102" s="9"/>
      <c r="B102" s="6"/>
      <c r="C102" s="6"/>
      <c r="D102" s="6"/>
      <c r="E102" s="6"/>
    </row>
    <row r="103">
      <c r="A103" s="9"/>
      <c r="B103" s="6"/>
      <c r="C103" s="6"/>
      <c r="D103" s="6"/>
      <c r="E103" s="6"/>
    </row>
    <row r="104">
      <c r="A104" s="9"/>
      <c r="B104" s="6"/>
      <c r="C104" s="6"/>
      <c r="D104" s="6"/>
      <c r="E104" s="6"/>
    </row>
    <row r="105">
      <c r="A105" s="9"/>
      <c r="B105" s="6"/>
      <c r="C105" s="6"/>
      <c r="D105" s="6"/>
      <c r="E105" s="6"/>
    </row>
    <row r="106">
      <c r="A106" s="9"/>
      <c r="B106" s="6"/>
      <c r="C106" s="6"/>
      <c r="D106" s="6"/>
      <c r="E106" s="6"/>
    </row>
    <row r="107">
      <c r="A107" s="9"/>
      <c r="B107" s="6"/>
      <c r="C107" s="6"/>
      <c r="D107" s="6"/>
      <c r="E107" s="6"/>
    </row>
    <row r="108">
      <c r="A108" s="9"/>
      <c r="B108" s="6"/>
      <c r="C108" s="6"/>
      <c r="D108" s="6"/>
      <c r="E108" s="6"/>
    </row>
    <row r="109">
      <c r="A109" s="9"/>
      <c r="B109" s="6"/>
      <c r="C109" s="6"/>
      <c r="D109" s="6"/>
      <c r="E109" s="6"/>
    </row>
    <row r="110">
      <c r="A110" s="9"/>
      <c r="B110" s="6"/>
      <c r="C110" s="6"/>
      <c r="D110" s="6"/>
      <c r="E110" s="6"/>
    </row>
    <row r="111">
      <c r="A111" s="9"/>
      <c r="B111" s="6"/>
      <c r="C111" s="6"/>
      <c r="D111" s="6"/>
      <c r="E111" s="6"/>
    </row>
    <row r="112">
      <c r="A112" s="9"/>
      <c r="B112" s="6"/>
      <c r="C112" s="6"/>
      <c r="D112" s="6"/>
      <c r="E112" s="6"/>
    </row>
    <row r="113">
      <c r="A113" s="9"/>
      <c r="B113" s="6"/>
      <c r="C113" s="6"/>
      <c r="D113" s="6"/>
      <c r="E113" s="6"/>
    </row>
    <row r="114">
      <c r="A114" s="9"/>
      <c r="B114" s="6"/>
      <c r="C114" s="6"/>
      <c r="D114" s="6"/>
      <c r="E114" s="6"/>
    </row>
    <row r="115">
      <c r="A115" s="9"/>
      <c r="B115" s="6"/>
      <c r="C115" s="6"/>
      <c r="D115" s="6"/>
      <c r="E115" s="6"/>
    </row>
    <row r="116">
      <c r="A116" s="9"/>
      <c r="B116" s="6"/>
      <c r="C116" s="6"/>
      <c r="D116" s="6"/>
      <c r="E116" s="6"/>
    </row>
    <row r="117">
      <c r="A117" s="9"/>
      <c r="B117" s="6"/>
      <c r="C117" s="6"/>
      <c r="D117" s="6"/>
      <c r="E117" s="6"/>
    </row>
    <row r="118">
      <c r="A118" s="9"/>
      <c r="B118" s="6"/>
      <c r="C118" s="6"/>
      <c r="D118" s="6"/>
      <c r="E118" s="6"/>
    </row>
    <row r="119">
      <c r="A119" s="9"/>
      <c r="B119" s="6"/>
      <c r="C119" s="6"/>
      <c r="D119" s="6"/>
      <c r="E119" s="6"/>
    </row>
    <row r="120">
      <c r="A120" s="9"/>
      <c r="B120" s="6"/>
      <c r="C120" s="6"/>
      <c r="D120" s="6"/>
      <c r="E120" s="6"/>
    </row>
    <row r="121">
      <c r="A121" s="9"/>
      <c r="B121" s="6"/>
      <c r="C121" s="6"/>
      <c r="D121" s="6"/>
      <c r="E121" s="6"/>
    </row>
    <row r="122">
      <c r="A122" s="9"/>
      <c r="B122" s="6"/>
      <c r="C122" s="6"/>
      <c r="D122" s="6"/>
      <c r="E122" s="6"/>
    </row>
    <row r="123">
      <c r="A123" s="9"/>
      <c r="B123" s="6"/>
      <c r="C123" s="6"/>
      <c r="D123" s="6"/>
      <c r="E123" s="6"/>
    </row>
    <row r="124">
      <c r="A124" s="9"/>
      <c r="B124" s="6"/>
      <c r="C124" s="6"/>
      <c r="D124" s="6"/>
      <c r="E124" s="6"/>
    </row>
    <row r="125">
      <c r="A125" s="9"/>
      <c r="B125" s="6"/>
      <c r="C125" s="6"/>
      <c r="D125" s="6"/>
      <c r="E125" s="6"/>
    </row>
    <row r="126">
      <c r="A126" s="9"/>
      <c r="B126" s="6"/>
      <c r="C126" s="6"/>
      <c r="D126" s="6"/>
      <c r="E126" s="6"/>
    </row>
    <row r="127">
      <c r="A127" s="9"/>
      <c r="B127" s="6"/>
      <c r="C127" s="6"/>
      <c r="D127" s="6"/>
      <c r="E127" s="6"/>
    </row>
    <row r="128">
      <c r="A128" s="9"/>
      <c r="B128" s="6"/>
      <c r="C128" s="6"/>
      <c r="D128" s="6"/>
      <c r="E128" s="6"/>
    </row>
    <row r="129">
      <c r="A129" s="9"/>
      <c r="B129" s="6"/>
      <c r="C129" s="6"/>
      <c r="D129" s="6"/>
      <c r="E129" s="6"/>
    </row>
    <row r="130">
      <c r="A130" s="9"/>
      <c r="B130" s="6"/>
      <c r="C130" s="6"/>
      <c r="D130" s="6"/>
      <c r="E130" s="6"/>
    </row>
    <row r="131">
      <c r="A131" s="9"/>
      <c r="B131" s="6"/>
      <c r="C131" s="6"/>
      <c r="D131" s="6"/>
      <c r="E131" s="6"/>
    </row>
    <row r="132">
      <c r="A132" s="9"/>
      <c r="B132" s="6"/>
      <c r="C132" s="6"/>
      <c r="D132" s="6"/>
      <c r="E132" s="6"/>
    </row>
    <row r="133">
      <c r="A133" s="9"/>
      <c r="B133" s="6"/>
      <c r="C133" s="6"/>
      <c r="D133" s="6"/>
      <c r="E133" s="6"/>
    </row>
    <row r="134">
      <c r="A134" s="9"/>
      <c r="B134" s="6"/>
      <c r="C134" s="6"/>
      <c r="D134" s="6"/>
      <c r="E134" s="6"/>
    </row>
    <row r="135">
      <c r="A135" s="9"/>
      <c r="B135" s="6"/>
      <c r="C135" s="6"/>
      <c r="D135" s="6"/>
      <c r="E135" s="6"/>
    </row>
    <row r="136">
      <c r="A136" s="9"/>
      <c r="B136" s="6"/>
      <c r="C136" s="6"/>
      <c r="D136" s="6"/>
      <c r="E136" s="6"/>
    </row>
    <row r="137">
      <c r="A137" s="9"/>
      <c r="B137" s="6"/>
      <c r="C137" s="6"/>
      <c r="D137" s="6"/>
      <c r="E137" s="6"/>
    </row>
    <row r="138">
      <c r="A138" s="9"/>
      <c r="B138" s="6"/>
      <c r="C138" s="6"/>
      <c r="D138" s="6"/>
      <c r="E138" s="6"/>
    </row>
    <row r="139">
      <c r="A139" s="9"/>
      <c r="B139" s="6"/>
      <c r="C139" s="6"/>
      <c r="D139" s="6"/>
      <c r="E139" s="6"/>
    </row>
    <row r="140">
      <c r="A140" s="9"/>
      <c r="B140" s="6"/>
      <c r="C140" s="6"/>
      <c r="D140" s="6"/>
      <c r="E140" s="6"/>
    </row>
    <row r="141">
      <c r="A141" s="9"/>
      <c r="B141" s="6"/>
      <c r="C141" s="6"/>
      <c r="D141" s="6"/>
      <c r="E141" s="6"/>
    </row>
    <row r="142">
      <c r="A142" s="9"/>
      <c r="B142" s="6"/>
      <c r="C142" s="6"/>
      <c r="D142" s="6"/>
      <c r="E142" s="6"/>
    </row>
    <row r="143">
      <c r="A143" s="9"/>
      <c r="B143" s="6"/>
      <c r="C143" s="6"/>
      <c r="D143" s="6"/>
      <c r="E143" s="6"/>
    </row>
    <row r="144">
      <c r="A144" s="9"/>
      <c r="B144" s="6"/>
      <c r="C144" s="6"/>
      <c r="D144" s="6"/>
      <c r="E144" s="6"/>
    </row>
    <row r="145">
      <c r="A145" s="9"/>
      <c r="B145" s="6"/>
      <c r="C145" s="6"/>
      <c r="D145" s="6"/>
      <c r="E145" s="6"/>
    </row>
    <row r="146">
      <c r="A146" s="9"/>
      <c r="B146" s="6"/>
      <c r="C146" s="6"/>
      <c r="D146" s="6"/>
      <c r="E146" s="6"/>
    </row>
    <row r="147">
      <c r="A147" s="9"/>
      <c r="B147" s="6"/>
      <c r="C147" s="6"/>
      <c r="D147" s="6"/>
      <c r="E147" s="6"/>
    </row>
    <row r="148">
      <c r="A148" s="9"/>
      <c r="B148" s="6"/>
      <c r="C148" s="6"/>
      <c r="D148" s="6"/>
      <c r="E148" s="6"/>
    </row>
    <row r="149">
      <c r="A149" s="9"/>
      <c r="B149" s="6"/>
      <c r="C149" s="6"/>
      <c r="D149" s="6"/>
      <c r="E149" s="6"/>
    </row>
    <row r="150">
      <c r="A150" s="9"/>
      <c r="B150" s="6"/>
      <c r="C150" s="6"/>
      <c r="D150" s="6"/>
      <c r="E150" s="6"/>
    </row>
    <row r="151">
      <c r="A151" s="9"/>
      <c r="B151" s="6"/>
      <c r="C151" s="6"/>
      <c r="D151" s="6"/>
      <c r="E151" s="6"/>
    </row>
    <row r="152">
      <c r="A152" s="9"/>
      <c r="B152" s="6"/>
      <c r="C152" s="6"/>
      <c r="D152" s="6"/>
      <c r="E152" s="6"/>
    </row>
    <row r="153">
      <c r="A153" s="9"/>
      <c r="B153" s="6"/>
      <c r="C153" s="6"/>
      <c r="D153" s="6"/>
      <c r="E153" s="6"/>
    </row>
    <row r="154">
      <c r="A154" s="9"/>
      <c r="B154" s="6"/>
      <c r="C154" s="6"/>
      <c r="D154" s="6"/>
      <c r="E154" s="6"/>
    </row>
    <row r="155">
      <c r="A155" s="9"/>
      <c r="B155" s="6"/>
      <c r="C155" s="6"/>
      <c r="D155" s="6"/>
      <c r="E155" s="6"/>
    </row>
    <row r="156">
      <c r="A156" s="9"/>
      <c r="B156" s="6"/>
      <c r="C156" s="6"/>
      <c r="D156" s="6"/>
      <c r="E156" s="6"/>
    </row>
    <row r="157">
      <c r="A157" s="9"/>
      <c r="B157" s="6"/>
      <c r="C157" s="6"/>
      <c r="D157" s="6"/>
      <c r="E157" s="6"/>
    </row>
    <row r="158">
      <c r="A158" s="9"/>
      <c r="B158" s="6"/>
      <c r="C158" s="6"/>
      <c r="D158" s="6"/>
      <c r="E158" s="6"/>
    </row>
    <row r="159">
      <c r="A159" s="9"/>
      <c r="B159" s="6"/>
      <c r="C159" s="6"/>
      <c r="D159" s="6"/>
      <c r="E159" s="6"/>
    </row>
    <row r="160">
      <c r="A160" s="9"/>
      <c r="B160" s="6"/>
      <c r="C160" s="6"/>
      <c r="D160" s="6"/>
      <c r="E160" s="6"/>
    </row>
    <row r="161">
      <c r="A161" s="9"/>
      <c r="B161" s="6"/>
      <c r="C161" s="6"/>
      <c r="D161" s="6"/>
      <c r="E161" s="6"/>
    </row>
    <row r="162">
      <c r="A162" s="9"/>
      <c r="B162" s="6"/>
      <c r="C162" s="6"/>
      <c r="D162" s="6"/>
      <c r="E162" s="6"/>
    </row>
    <row r="163">
      <c r="A163" s="9"/>
      <c r="B163" s="6"/>
      <c r="C163" s="6"/>
      <c r="D163" s="6"/>
      <c r="E163" s="6"/>
    </row>
    <row r="164">
      <c r="A164" s="9"/>
      <c r="B164" s="6"/>
      <c r="C164" s="6"/>
      <c r="D164" s="6"/>
      <c r="E164" s="6"/>
    </row>
    <row r="165">
      <c r="A165" s="9"/>
      <c r="B165" s="6"/>
      <c r="C165" s="6"/>
      <c r="D165" s="6"/>
      <c r="E165" s="6"/>
    </row>
    <row r="166">
      <c r="A166" s="9"/>
      <c r="B166" s="6"/>
      <c r="C166" s="6"/>
      <c r="D166" s="6"/>
      <c r="E166" s="6"/>
    </row>
    <row r="167">
      <c r="A167" s="9"/>
      <c r="B167" s="6"/>
      <c r="C167" s="6"/>
      <c r="D167" s="6"/>
      <c r="E167" s="6"/>
    </row>
    <row r="168">
      <c r="A168" s="9"/>
      <c r="B168" s="6"/>
      <c r="C168" s="6"/>
      <c r="D168" s="6"/>
      <c r="E168" s="6"/>
    </row>
    <row r="169">
      <c r="A169" s="9"/>
      <c r="B169" s="6"/>
      <c r="C169" s="6"/>
      <c r="D169" s="6"/>
      <c r="E169" s="6"/>
    </row>
    <row r="170">
      <c r="A170" s="9"/>
      <c r="B170" s="6"/>
      <c r="C170" s="6"/>
      <c r="D170" s="6"/>
      <c r="E170" s="6"/>
    </row>
    <row r="171">
      <c r="A171" s="9"/>
      <c r="B171" s="6"/>
      <c r="C171" s="6"/>
      <c r="D171" s="6"/>
      <c r="E171" s="6"/>
    </row>
    <row r="172">
      <c r="A172" s="9"/>
      <c r="B172" s="6"/>
      <c r="C172" s="6"/>
      <c r="D172" s="6"/>
      <c r="E172" s="6"/>
    </row>
    <row r="173">
      <c r="A173" s="9"/>
      <c r="B173" s="6"/>
      <c r="C173" s="6"/>
      <c r="D173" s="6"/>
      <c r="E173" s="6"/>
    </row>
    <row r="174">
      <c r="A174" s="9"/>
      <c r="B174" s="6"/>
      <c r="C174" s="6"/>
      <c r="D174" s="6"/>
      <c r="E174" s="6"/>
    </row>
    <row r="175">
      <c r="A175" s="9"/>
      <c r="B175" s="6"/>
      <c r="C175" s="6"/>
      <c r="D175" s="6"/>
      <c r="E175" s="6"/>
    </row>
    <row r="176">
      <c r="A176" s="9"/>
      <c r="B176" s="6"/>
      <c r="C176" s="6"/>
      <c r="D176" s="6"/>
      <c r="E176" s="6"/>
    </row>
    <row r="177">
      <c r="A177" s="9"/>
      <c r="B177" s="6"/>
      <c r="C177" s="6"/>
      <c r="D177" s="6"/>
      <c r="E177" s="6"/>
    </row>
    <row r="178">
      <c r="A178" s="9"/>
      <c r="B178" s="6"/>
      <c r="C178" s="6"/>
      <c r="D178" s="6"/>
      <c r="E178" s="6"/>
    </row>
    <row r="179">
      <c r="A179" s="9"/>
      <c r="B179" s="6"/>
      <c r="C179" s="6"/>
      <c r="D179" s="6"/>
      <c r="E179" s="6"/>
    </row>
    <row r="180">
      <c r="A180" s="9"/>
      <c r="B180" s="6"/>
      <c r="C180" s="6"/>
      <c r="D180" s="6"/>
      <c r="E180" s="6"/>
    </row>
    <row r="181">
      <c r="A181" s="9"/>
      <c r="B181" s="6"/>
      <c r="C181" s="6"/>
      <c r="D181" s="6"/>
      <c r="E181" s="6"/>
    </row>
    <row r="182">
      <c r="A182" s="9"/>
      <c r="B182" s="6"/>
      <c r="C182" s="6"/>
      <c r="D182" s="6"/>
      <c r="E182" s="6"/>
    </row>
    <row r="183">
      <c r="A183" s="9"/>
      <c r="B183" s="6"/>
      <c r="C183" s="6"/>
      <c r="D183" s="6"/>
      <c r="E183" s="6"/>
    </row>
    <row r="184">
      <c r="A184" s="9"/>
      <c r="B184" s="6"/>
      <c r="C184" s="6"/>
      <c r="D184" s="6"/>
      <c r="E184" s="6"/>
    </row>
    <row r="185">
      <c r="A185" s="9"/>
      <c r="B185" s="6"/>
      <c r="C185" s="6"/>
      <c r="D185" s="6"/>
      <c r="E185" s="6"/>
    </row>
    <row r="186">
      <c r="A186" s="9"/>
      <c r="B186" s="6"/>
      <c r="C186" s="6"/>
      <c r="D186" s="6"/>
      <c r="E186" s="6"/>
    </row>
    <row r="187">
      <c r="A187" s="9"/>
      <c r="B187" s="6"/>
      <c r="C187" s="6"/>
      <c r="D187" s="6"/>
      <c r="E187" s="6"/>
    </row>
    <row r="188">
      <c r="A188" s="9"/>
      <c r="B188" s="6"/>
      <c r="C188" s="6"/>
      <c r="D188" s="6"/>
      <c r="E188" s="6"/>
    </row>
    <row r="189">
      <c r="A189" s="9"/>
      <c r="B189" s="6"/>
      <c r="C189" s="6"/>
      <c r="D189" s="6"/>
      <c r="E189" s="6"/>
    </row>
    <row r="190">
      <c r="A190" s="9"/>
      <c r="B190" s="6"/>
      <c r="C190" s="6"/>
      <c r="D190" s="6"/>
      <c r="E190" s="6"/>
    </row>
    <row r="191">
      <c r="A191" s="9"/>
      <c r="B191" s="6"/>
      <c r="C191" s="6"/>
      <c r="D191" s="6"/>
      <c r="E191" s="6"/>
    </row>
    <row r="192">
      <c r="A192" s="9"/>
      <c r="B192" s="6"/>
      <c r="C192" s="6"/>
      <c r="D192" s="6"/>
      <c r="E192" s="6"/>
    </row>
    <row r="193">
      <c r="A193" s="9"/>
      <c r="B193" s="6"/>
      <c r="C193" s="6"/>
      <c r="D193" s="6"/>
      <c r="E193" s="6"/>
    </row>
    <row r="194">
      <c r="A194" s="9"/>
      <c r="B194" s="6"/>
      <c r="C194" s="6"/>
      <c r="D194" s="6"/>
      <c r="E194" s="6"/>
    </row>
    <row r="195">
      <c r="A195" s="9"/>
      <c r="B195" s="6"/>
      <c r="C195" s="6"/>
      <c r="D195" s="6"/>
      <c r="E195" s="6"/>
    </row>
    <row r="196">
      <c r="A196" s="9"/>
      <c r="B196" s="6"/>
      <c r="C196" s="6"/>
      <c r="D196" s="6"/>
      <c r="E196" s="6"/>
    </row>
    <row r="197">
      <c r="A197" s="9"/>
      <c r="B197" s="6"/>
      <c r="C197" s="6"/>
      <c r="D197" s="6"/>
      <c r="E197" s="6"/>
    </row>
    <row r="198">
      <c r="A198" s="9"/>
      <c r="B198" s="6"/>
      <c r="C198" s="6"/>
      <c r="D198" s="6"/>
      <c r="E198" s="6"/>
    </row>
    <row r="199">
      <c r="A199" s="9"/>
      <c r="B199" s="6"/>
      <c r="C199" s="6"/>
      <c r="D199" s="6"/>
      <c r="E199" s="6"/>
    </row>
    <row r="200">
      <c r="A200" s="9"/>
      <c r="B200" s="6"/>
      <c r="C200" s="6"/>
      <c r="D200" s="6"/>
      <c r="E200" s="6"/>
    </row>
    <row r="201">
      <c r="A201" s="9"/>
      <c r="B201" s="6"/>
      <c r="C201" s="6"/>
      <c r="D201" s="6"/>
      <c r="E201" s="6"/>
    </row>
    <row r="202">
      <c r="A202" s="9"/>
      <c r="B202" s="6"/>
      <c r="C202" s="6"/>
      <c r="D202" s="6"/>
      <c r="E202" s="6"/>
    </row>
    <row r="203">
      <c r="A203" s="9"/>
      <c r="B203" s="6"/>
      <c r="C203" s="6"/>
      <c r="D203" s="6"/>
      <c r="E203" s="6"/>
    </row>
    <row r="204">
      <c r="A204" s="9"/>
      <c r="B204" s="6"/>
      <c r="C204" s="6"/>
      <c r="D204" s="6"/>
      <c r="E204" s="6"/>
    </row>
    <row r="205">
      <c r="A205" s="9"/>
      <c r="B205" s="6"/>
      <c r="C205" s="6"/>
      <c r="D205" s="6"/>
      <c r="E205" s="6"/>
    </row>
  </sheetData>
  <mergeCells count="3">
    <mergeCell ref="A1:C1"/>
    <mergeCell ref="A2:E2"/>
    <mergeCell ref="A5:E5"/>
  </mergeCells>
  <pageMargins left="0.4" right="0.4" top="0.5" bottom="0.5" header="0.3" footer="0.3"/>
  <pageSetup paperSize="9" orientation="portrait" fitToWidth="1" fitToHeight="0"/>
</worksheet>
</file>

<file path=xl/worksheets/sheet5.xml><?xml version="1.0" encoding="utf-8"?>
<worksheet xmlns="http://schemas.openxmlformats.org/spreadsheetml/2006/main">
  <sheetPr>
    <tabColor rgb="FF0D5C45"/>
    <pageSetUpPr fitToPage="1"/>
  </sheetPr>
  <sheetViews>
    <sheetView showGridLines="0" workbookViewId="0">
      <pane ySplit="5" topLeftCell="A6" activePane="bottomLeft" state="frozen"/>
    </sheetView>
  </sheetViews>
  <sheetFormatPr defaultRowHeight="15"/>
  <cols>
    <col min="1" max="1" width="26" customWidth="1"/>
    <col min="2" max="2" width="12" customWidth="1"/>
    <col min="3" max="3" width="13" customWidth="1"/>
    <col min="4" max="4" width="12" customWidth="1"/>
    <col min="5" max="5" width="13" customWidth="1"/>
    <col min="6" max="6" width="12" customWidth="1"/>
    <col min="7" max="7" width="13" customWidth="1"/>
    <col min="8" max="8" width="12" customWidth="1"/>
    <col min="9" max="9" width="13" customWidth="1"/>
    <col min="10" max="10" width="12" customWidth="1"/>
    <col min="11" max="11" width="13" customWidth="1"/>
    <col min="12" max="12" width="12" customWidth="1"/>
    <col min="13" max="13" width="13" customWidth="1"/>
    <col min="14" max="14" width="12" customWidth="1"/>
    <col min="15" max="15" width="13" customWidth="1"/>
    <col min="16" max="16" width="12" customWidth="1"/>
    <col min="17" max="17" width="13" customWidth="1"/>
  </cols>
  <sheetData>
    <row r="1" ht="24" customHeight="1">
      <c r="A1" s="1" t="inlineStr">
        <is>
          <t>Training matrix</t>
        </is>
      </c>
    </row>
    <row r="2" ht="44" customHeight="1">
      <c r="A2" s="8" t="inlineStr">
        <is>
          <t>Type the name, then the date each course was done under "Done on". The tinted Expires cell beside it fills in by itself. The eight courses and renewal periods here are common ones, not a rule: your statement of purpose and risk assessments set your list, so rename the headings and change the months in the formulas to match.</t>
        </is>
      </c>
    </row>
    <row r="3"/>
    <row r="4" ht="34" customHeight="1">
      <c r="A4" s="4" t="inlineStr">
        <is>
          <t>Staff member</t>
        </is>
      </c>
      <c r="B4" s="4" t="inlineStr">
        <is>
          <t>Safeguarding Children (renews every 1 year)</t>
        </is>
      </c>
      <c r="C4" s="4"/>
      <c r="D4" s="4" t="inlineStr">
        <is>
          <t>First Aid (renews every 3 years)</t>
        </is>
      </c>
      <c r="E4" s="4"/>
      <c r="F4" s="4" t="inlineStr">
        <is>
          <t>Fire Safety (renews every 1 year)</t>
        </is>
      </c>
      <c r="G4" s="4"/>
      <c r="H4" s="4" t="inlineStr">
        <is>
          <t>Medication Administration (renews every 1 year)</t>
        </is>
      </c>
      <c r="I4" s="4"/>
      <c r="J4" s="4" t="inlineStr">
        <is>
          <t>Food Hygiene (renews every 3 years)</t>
        </is>
      </c>
      <c r="K4" s="4"/>
      <c r="L4" s="4" t="inlineStr">
        <is>
          <t>Health and Safety (renews every 1 year)</t>
        </is>
      </c>
      <c r="M4" s="4"/>
      <c r="N4" s="4" t="inlineStr">
        <is>
          <t>Physical Intervention (renews every 1 year)</t>
        </is>
      </c>
      <c r="O4" s="4"/>
      <c r="P4" s="4" t="inlineStr">
        <is>
          <t>Prevent / Online Safety (renews every 2 years)</t>
        </is>
      </c>
      <c r="Q4" s="4"/>
    </row>
    <row r="5">
      <c r="A5" s="4"/>
      <c r="B5" s="17" t="inlineStr">
        <is>
          <t>Done on</t>
        </is>
      </c>
      <c r="C5" s="17" t="inlineStr">
        <is>
          <t>Expires (auto)</t>
        </is>
      </c>
      <c r="D5" s="17" t="inlineStr">
        <is>
          <t>Done on</t>
        </is>
      </c>
      <c r="E5" s="17" t="inlineStr">
        <is>
          <t>Expires (auto)</t>
        </is>
      </c>
      <c r="F5" s="17" t="inlineStr">
        <is>
          <t>Done on</t>
        </is>
      </c>
      <c r="G5" s="17" t="inlineStr">
        <is>
          <t>Expires (auto)</t>
        </is>
      </c>
      <c r="H5" s="17" t="inlineStr">
        <is>
          <t>Done on</t>
        </is>
      </c>
      <c r="I5" s="17" t="inlineStr">
        <is>
          <t>Expires (auto)</t>
        </is>
      </c>
      <c r="J5" s="17" t="inlineStr">
        <is>
          <t>Done on</t>
        </is>
      </c>
      <c r="K5" s="17" t="inlineStr">
        <is>
          <t>Expires (auto)</t>
        </is>
      </c>
      <c r="L5" s="17" t="inlineStr">
        <is>
          <t>Done on</t>
        </is>
      </c>
      <c r="M5" s="17" t="inlineStr">
        <is>
          <t>Expires (auto)</t>
        </is>
      </c>
      <c r="N5" s="17" t="inlineStr">
        <is>
          <t>Done on</t>
        </is>
      </c>
      <c r="O5" s="17" t="inlineStr">
        <is>
          <t>Expires (auto)</t>
        </is>
      </c>
      <c r="P5" s="17" t="inlineStr">
        <is>
          <t>Done on</t>
        </is>
      </c>
      <c r="Q5" s="17" t="inlineStr">
        <is>
          <t>Expires (auto)</t>
        </is>
      </c>
    </row>
    <row r="6">
      <c r="A6" s="10" t="inlineStr">
        <is>
          <t>Example, overtype or delete me</t>
        </is>
      </c>
      <c r="B6" s="16">
        <v>45872</v>
      </c>
      <c r="C6" s="11">
        <f>IF(B6="","",EDATE(B6,12))</f>
      </c>
      <c r="D6" s="16">
        <v>45272</v>
      </c>
      <c r="E6" s="11">
        <f>IF(D6="","",EDATE(D6,36))</f>
      </c>
      <c r="F6" s="16">
        <v>45922</v>
      </c>
      <c r="G6" s="11">
        <f>IF(F6="","",EDATE(F6,12))</f>
      </c>
      <c r="H6" s="9"/>
      <c r="I6" s="11">
        <f>IF(H6="","",EDATE(H6,12))</f>
      </c>
      <c r="J6" s="9"/>
      <c r="K6" s="11">
        <f>IF(J6="","",EDATE(J6,36))</f>
      </c>
      <c r="L6" s="9"/>
      <c r="M6" s="11">
        <f>IF(L6="","",EDATE(L6,12))</f>
      </c>
      <c r="N6" s="9"/>
      <c r="O6" s="11">
        <f>IF(N6="","",EDATE(N6,12))</f>
      </c>
      <c r="P6" s="9"/>
      <c r="Q6" s="11">
        <f>IF(P6="","",EDATE(P6,24))</f>
      </c>
    </row>
    <row r="7">
      <c r="A7" s="6"/>
      <c r="B7" s="9"/>
      <c r="C7" s="11">
        <f>IF(B7="","",EDATE(B7,12))</f>
      </c>
      <c r="D7" s="9"/>
      <c r="E7" s="11">
        <f>IF(D7="","",EDATE(D7,36))</f>
      </c>
      <c r="F7" s="9"/>
      <c r="G7" s="11">
        <f>IF(F7="","",EDATE(F7,12))</f>
      </c>
      <c r="H7" s="9"/>
      <c r="I7" s="11">
        <f>IF(H7="","",EDATE(H7,12))</f>
      </c>
      <c r="J7" s="9"/>
      <c r="K7" s="11">
        <f>IF(J7="","",EDATE(J7,36))</f>
      </c>
      <c r="L7" s="9"/>
      <c r="M7" s="11">
        <f>IF(L7="","",EDATE(L7,12))</f>
      </c>
      <c r="N7" s="9"/>
      <c r="O7" s="11">
        <f>IF(N7="","",EDATE(N7,12))</f>
      </c>
      <c r="P7" s="9"/>
      <c r="Q7" s="11">
        <f>IF(P7="","",EDATE(P7,24))</f>
      </c>
    </row>
    <row r="8">
      <c r="A8" s="6"/>
      <c r="B8" s="9"/>
      <c r="C8" s="11">
        <f>IF(B8="","",EDATE(B8,12))</f>
      </c>
      <c r="D8" s="9"/>
      <c r="E8" s="11">
        <f>IF(D8="","",EDATE(D8,36))</f>
      </c>
      <c r="F8" s="9"/>
      <c r="G8" s="11">
        <f>IF(F8="","",EDATE(F8,12))</f>
      </c>
      <c r="H8" s="9"/>
      <c r="I8" s="11">
        <f>IF(H8="","",EDATE(H8,12))</f>
      </c>
      <c r="J8" s="9"/>
      <c r="K8" s="11">
        <f>IF(J8="","",EDATE(J8,36))</f>
      </c>
      <c r="L8" s="9"/>
      <c r="M8" s="11">
        <f>IF(L8="","",EDATE(L8,12))</f>
      </c>
      <c r="N8" s="9"/>
      <c r="O8" s="11">
        <f>IF(N8="","",EDATE(N8,12))</f>
      </c>
      <c r="P8" s="9"/>
      <c r="Q8" s="11">
        <f>IF(P8="","",EDATE(P8,24))</f>
      </c>
    </row>
    <row r="9">
      <c r="A9" s="6"/>
      <c r="B9" s="9"/>
      <c r="C9" s="11">
        <f>IF(B9="","",EDATE(B9,12))</f>
      </c>
      <c r="D9" s="9"/>
      <c r="E9" s="11">
        <f>IF(D9="","",EDATE(D9,36))</f>
      </c>
      <c r="F9" s="9"/>
      <c r="G9" s="11">
        <f>IF(F9="","",EDATE(F9,12))</f>
      </c>
      <c r="H9" s="9"/>
      <c r="I9" s="11">
        <f>IF(H9="","",EDATE(H9,12))</f>
      </c>
      <c r="J9" s="9"/>
      <c r="K9" s="11">
        <f>IF(J9="","",EDATE(J9,36))</f>
      </c>
      <c r="L9" s="9"/>
      <c r="M9" s="11">
        <f>IF(L9="","",EDATE(L9,12))</f>
      </c>
      <c r="N9" s="9"/>
      <c r="O9" s="11">
        <f>IF(N9="","",EDATE(N9,12))</f>
      </c>
      <c r="P9" s="9"/>
      <c r="Q9" s="11">
        <f>IF(P9="","",EDATE(P9,24))</f>
      </c>
    </row>
    <row r="10">
      <c r="A10" s="6"/>
      <c r="B10" s="9"/>
      <c r="C10" s="11">
        <f>IF(B10="","",EDATE(B10,12))</f>
      </c>
      <c r="D10" s="9"/>
      <c r="E10" s="11">
        <f>IF(D10="","",EDATE(D10,36))</f>
      </c>
      <c r="F10" s="9"/>
      <c r="G10" s="11">
        <f>IF(F10="","",EDATE(F10,12))</f>
      </c>
      <c r="H10" s="9"/>
      <c r="I10" s="11">
        <f>IF(H10="","",EDATE(H10,12))</f>
      </c>
      <c r="J10" s="9"/>
      <c r="K10" s="11">
        <f>IF(J10="","",EDATE(J10,36))</f>
      </c>
      <c r="L10" s="9"/>
      <c r="M10" s="11">
        <f>IF(L10="","",EDATE(L10,12))</f>
      </c>
      <c r="N10" s="9"/>
      <c r="O10" s="11">
        <f>IF(N10="","",EDATE(N10,12))</f>
      </c>
      <c r="P10" s="9"/>
      <c r="Q10" s="11">
        <f>IF(P10="","",EDATE(P10,24))</f>
      </c>
    </row>
    <row r="11">
      <c r="A11" s="6"/>
      <c r="B11" s="9"/>
      <c r="C11" s="11">
        <f>IF(B11="","",EDATE(B11,12))</f>
      </c>
      <c r="D11" s="9"/>
      <c r="E11" s="11">
        <f>IF(D11="","",EDATE(D11,36))</f>
      </c>
      <c r="F11" s="9"/>
      <c r="G11" s="11">
        <f>IF(F11="","",EDATE(F11,12))</f>
      </c>
      <c r="H11" s="9"/>
      <c r="I11" s="11">
        <f>IF(H11="","",EDATE(H11,12))</f>
      </c>
      <c r="J11" s="9"/>
      <c r="K11" s="11">
        <f>IF(J11="","",EDATE(J11,36))</f>
      </c>
      <c r="L11" s="9"/>
      <c r="M11" s="11">
        <f>IF(L11="","",EDATE(L11,12))</f>
      </c>
      <c r="N11" s="9"/>
      <c r="O11" s="11">
        <f>IF(N11="","",EDATE(N11,12))</f>
      </c>
      <c r="P11" s="9"/>
      <c r="Q11" s="11">
        <f>IF(P11="","",EDATE(P11,24))</f>
      </c>
    </row>
    <row r="12">
      <c r="A12" s="6"/>
      <c r="B12" s="9"/>
      <c r="C12" s="11">
        <f>IF(B12="","",EDATE(B12,12))</f>
      </c>
      <c r="D12" s="9"/>
      <c r="E12" s="11">
        <f>IF(D12="","",EDATE(D12,36))</f>
      </c>
      <c r="F12" s="9"/>
      <c r="G12" s="11">
        <f>IF(F12="","",EDATE(F12,12))</f>
      </c>
      <c r="H12" s="9"/>
      <c r="I12" s="11">
        <f>IF(H12="","",EDATE(H12,12))</f>
      </c>
      <c r="J12" s="9"/>
      <c r="K12" s="11">
        <f>IF(J12="","",EDATE(J12,36))</f>
      </c>
      <c r="L12" s="9"/>
      <c r="M12" s="11">
        <f>IF(L12="","",EDATE(L12,12))</f>
      </c>
      <c r="N12" s="9"/>
      <c r="O12" s="11">
        <f>IF(N12="","",EDATE(N12,12))</f>
      </c>
      <c r="P12" s="9"/>
      <c r="Q12" s="11">
        <f>IF(P12="","",EDATE(P12,24))</f>
      </c>
    </row>
    <row r="13">
      <c r="A13" s="6"/>
      <c r="B13" s="9"/>
      <c r="C13" s="11">
        <f>IF(B13="","",EDATE(B13,12))</f>
      </c>
      <c r="D13" s="9"/>
      <c r="E13" s="11">
        <f>IF(D13="","",EDATE(D13,36))</f>
      </c>
      <c r="F13" s="9"/>
      <c r="G13" s="11">
        <f>IF(F13="","",EDATE(F13,12))</f>
      </c>
      <c r="H13" s="9"/>
      <c r="I13" s="11">
        <f>IF(H13="","",EDATE(H13,12))</f>
      </c>
      <c r="J13" s="9"/>
      <c r="K13" s="11">
        <f>IF(J13="","",EDATE(J13,36))</f>
      </c>
      <c r="L13" s="9"/>
      <c r="M13" s="11">
        <f>IF(L13="","",EDATE(L13,12))</f>
      </c>
      <c r="N13" s="9"/>
      <c r="O13" s="11">
        <f>IF(N13="","",EDATE(N13,12))</f>
      </c>
      <c r="P13" s="9"/>
      <c r="Q13" s="11">
        <f>IF(P13="","",EDATE(P13,24))</f>
      </c>
    </row>
    <row r="14">
      <c r="A14" s="6"/>
      <c r="B14" s="9"/>
      <c r="C14" s="11">
        <f>IF(B14="","",EDATE(B14,12))</f>
      </c>
      <c r="D14" s="9"/>
      <c r="E14" s="11">
        <f>IF(D14="","",EDATE(D14,36))</f>
      </c>
      <c r="F14" s="9"/>
      <c r="G14" s="11">
        <f>IF(F14="","",EDATE(F14,12))</f>
      </c>
      <c r="H14" s="9"/>
      <c r="I14" s="11">
        <f>IF(H14="","",EDATE(H14,12))</f>
      </c>
      <c r="J14" s="9"/>
      <c r="K14" s="11">
        <f>IF(J14="","",EDATE(J14,36))</f>
      </c>
      <c r="L14" s="9"/>
      <c r="M14" s="11">
        <f>IF(L14="","",EDATE(L14,12))</f>
      </c>
      <c r="N14" s="9"/>
      <c r="O14" s="11">
        <f>IF(N14="","",EDATE(N14,12))</f>
      </c>
      <c r="P14" s="9"/>
      <c r="Q14" s="11">
        <f>IF(P14="","",EDATE(P14,24))</f>
      </c>
    </row>
    <row r="15">
      <c r="A15" s="6"/>
      <c r="B15" s="9"/>
      <c r="C15" s="11">
        <f>IF(B15="","",EDATE(B15,12))</f>
      </c>
      <c r="D15" s="9"/>
      <c r="E15" s="11">
        <f>IF(D15="","",EDATE(D15,36))</f>
      </c>
      <c r="F15" s="9"/>
      <c r="G15" s="11">
        <f>IF(F15="","",EDATE(F15,12))</f>
      </c>
      <c r="H15" s="9"/>
      <c r="I15" s="11">
        <f>IF(H15="","",EDATE(H15,12))</f>
      </c>
      <c r="J15" s="9"/>
      <c r="K15" s="11">
        <f>IF(J15="","",EDATE(J15,36))</f>
      </c>
      <c r="L15" s="9"/>
      <c r="M15" s="11">
        <f>IF(L15="","",EDATE(L15,12))</f>
      </c>
      <c r="N15" s="9"/>
      <c r="O15" s="11">
        <f>IF(N15="","",EDATE(N15,12))</f>
      </c>
      <c r="P15" s="9"/>
      <c r="Q15" s="11">
        <f>IF(P15="","",EDATE(P15,24))</f>
      </c>
    </row>
    <row r="16">
      <c r="A16" s="6"/>
      <c r="B16" s="9"/>
      <c r="C16" s="11">
        <f>IF(B16="","",EDATE(B16,12))</f>
      </c>
      <c r="D16" s="9"/>
      <c r="E16" s="11">
        <f>IF(D16="","",EDATE(D16,36))</f>
      </c>
      <c r="F16" s="9"/>
      <c r="G16" s="11">
        <f>IF(F16="","",EDATE(F16,12))</f>
      </c>
      <c r="H16" s="9"/>
      <c r="I16" s="11">
        <f>IF(H16="","",EDATE(H16,12))</f>
      </c>
      <c r="J16" s="9"/>
      <c r="K16" s="11">
        <f>IF(J16="","",EDATE(J16,36))</f>
      </c>
      <c r="L16" s="9"/>
      <c r="M16" s="11">
        <f>IF(L16="","",EDATE(L16,12))</f>
      </c>
      <c r="N16" s="9"/>
      <c r="O16" s="11">
        <f>IF(N16="","",EDATE(N16,12))</f>
      </c>
      <c r="P16" s="9"/>
      <c r="Q16" s="11">
        <f>IF(P16="","",EDATE(P16,24))</f>
      </c>
    </row>
    <row r="17">
      <c r="A17" s="6"/>
      <c r="B17" s="9"/>
      <c r="C17" s="11">
        <f>IF(B17="","",EDATE(B17,12))</f>
      </c>
      <c r="D17" s="9"/>
      <c r="E17" s="11">
        <f>IF(D17="","",EDATE(D17,36))</f>
      </c>
      <c r="F17" s="9"/>
      <c r="G17" s="11">
        <f>IF(F17="","",EDATE(F17,12))</f>
      </c>
      <c r="H17" s="9"/>
      <c r="I17" s="11">
        <f>IF(H17="","",EDATE(H17,12))</f>
      </c>
      <c r="J17" s="9"/>
      <c r="K17" s="11">
        <f>IF(J17="","",EDATE(J17,36))</f>
      </c>
      <c r="L17" s="9"/>
      <c r="M17" s="11">
        <f>IF(L17="","",EDATE(L17,12))</f>
      </c>
      <c r="N17" s="9"/>
      <c r="O17" s="11">
        <f>IF(N17="","",EDATE(N17,12))</f>
      </c>
      <c r="P17" s="9"/>
      <c r="Q17" s="11">
        <f>IF(P17="","",EDATE(P17,24))</f>
      </c>
    </row>
    <row r="18">
      <c r="A18" s="6"/>
      <c r="B18" s="9"/>
      <c r="C18" s="11">
        <f>IF(B18="","",EDATE(B18,12))</f>
      </c>
      <c r="D18" s="9"/>
      <c r="E18" s="11">
        <f>IF(D18="","",EDATE(D18,36))</f>
      </c>
      <c r="F18" s="9"/>
      <c r="G18" s="11">
        <f>IF(F18="","",EDATE(F18,12))</f>
      </c>
      <c r="H18" s="9"/>
      <c r="I18" s="11">
        <f>IF(H18="","",EDATE(H18,12))</f>
      </c>
      <c r="J18" s="9"/>
      <c r="K18" s="11">
        <f>IF(J18="","",EDATE(J18,36))</f>
      </c>
      <c r="L18" s="9"/>
      <c r="M18" s="11">
        <f>IF(L18="","",EDATE(L18,12))</f>
      </c>
      <c r="N18" s="9"/>
      <c r="O18" s="11">
        <f>IF(N18="","",EDATE(N18,12))</f>
      </c>
      <c r="P18" s="9"/>
      <c r="Q18" s="11">
        <f>IF(P18="","",EDATE(P18,24))</f>
      </c>
    </row>
    <row r="19">
      <c r="A19" s="6"/>
      <c r="B19" s="9"/>
      <c r="C19" s="11">
        <f>IF(B19="","",EDATE(B19,12))</f>
      </c>
      <c r="D19" s="9"/>
      <c r="E19" s="11">
        <f>IF(D19="","",EDATE(D19,36))</f>
      </c>
      <c r="F19" s="9"/>
      <c r="G19" s="11">
        <f>IF(F19="","",EDATE(F19,12))</f>
      </c>
      <c r="H19" s="9"/>
      <c r="I19" s="11">
        <f>IF(H19="","",EDATE(H19,12))</f>
      </c>
      <c r="J19" s="9"/>
      <c r="K19" s="11">
        <f>IF(J19="","",EDATE(J19,36))</f>
      </c>
      <c r="L19" s="9"/>
      <c r="M19" s="11">
        <f>IF(L19="","",EDATE(L19,12))</f>
      </c>
      <c r="N19" s="9"/>
      <c r="O19" s="11">
        <f>IF(N19="","",EDATE(N19,12))</f>
      </c>
      <c r="P19" s="9"/>
      <c r="Q19" s="11">
        <f>IF(P19="","",EDATE(P19,24))</f>
      </c>
    </row>
    <row r="20">
      <c r="A20" s="6"/>
      <c r="B20" s="9"/>
      <c r="C20" s="11">
        <f>IF(B20="","",EDATE(B20,12))</f>
      </c>
      <c r="D20" s="9"/>
      <c r="E20" s="11">
        <f>IF(D20="","",EDATE(D20,36))</f>
      </c>
      <c r="F20" s="9"/>
      <c r="G20" s="11">
        <f>IF(F20="","",EDATE(F20,12))</f>
      </c>
      <c r="H20" s="9"/>
      <c r="I20" s="11">
        <f>IF(H20="","",EDATE(H20,12))</f>
      </c>
      <c r="J20" s="9"/>
      <c r="K20" s="11">
        <f>IF(J20="","",EDATE(J20,36))</f>
      </c>
      <c r="L20" s="9"/>
      <c r="M20" s="11">
        <f>IF(L20="","",EDATE(L20,12))</f>
      </c>
      <c r="N20" s="9"/>
      <c r="O20" s="11">
        <f>IF(N20="","",EDATE(N20,12))</f>
      </c>
      <c r="P20" s="9"/>
      <c r="Q20" s="11">
        <f>IF(P20="","",EDATE(P20,24))</f>
      </c>
    </row>
    <row r="21">
      <c r="A21" s="6"/>
      <c r="B21" s="9"/>
      <c r="C21" s="11">
        <f>IF(B21="","",EDATE(B21,12))</f>
      </c>
      <c r="D21" s="9"/>
      <c r="E21" s="11">
        <f>IF(D21="","",EDATE(D21,36))</f>
      </c>
      <c r="F21" s="9"/>
      <c r="G21" s="11">
        <f>IF(F21="","",EDATE(F21,12))</f>
      </c>
      <c r="H21" s="9"/>
      <c r="I21" s="11">
        <f>IF(H21="","",EDATE(H21,12))</f>
      </c>
      <c r="J21" s="9"/>
      <c r="K21" s="11">
        <f>IF(J21="","",EDATE(J21,36))</f>
      </c>
      <c r="L21" s="9"/>
      <c r="M21" s="11">
        <f>IF(L21="","",EDATE(L21,12))</f>
      </c>
      <c r="N21" s="9"/>
      <c r="O21" s="11">
        <f>IF(N21="","",EDATE(N21,12))</f>
      </c>
      <c r="P21" s="9"/>
      <c r="Q21" s="11">
        <f>IF(P21="","",EDATE(P21,24))</f>
      </c>
    </row>
    <row r="22">
      <c r="A22" s="6"/>
      <c r="B22" s="9"/>
      <c r="C22" s="11">
        <f>IF(B22="","",EDATE(B22,12))</f>
      </c>
      <c r="D22" s="9"/>
      <c r="E22" s="11">
        <f>IF(D22="","",EDATE(D22,36))</f>
      </c>
      <c r="F22" s="9"/>
      <c r="G22" s="11">
        <f>IF(F22="","",EDATE(F22,12))</f>
      </c>
      <c r="H22" s="9"/>
      <c r="I22" s="11">
        <f>IF(H22="","",EDATE(H22,12))</f>
      </c>
      <c r="J22" s="9"/>
      <c r="K22" s="11">
        <f>IF(J22="","",EDATE(J22,36))</f>
      </c>
      <c r="L22" s="9"/>
      <c r="M22" s="11">
        <f>IF(L22="","",EDATE(L22,12))</f>
      </c>
      <c r="N22" s="9"/>
      <c r="O22" s="11">
        <f>IF(N22="","",EDATE(N22,12))</f>
      </c>
      <c r="P22" s="9"/>
      <c r="Q22" s="11">
        <f>IF(P22="","",EDATE(P22,24))</f>
      </c>
    </row>
    <row r="23">
      <c r="A23" s="6"/>
      <c r="B23" s="9"/>
      <c r="C23" s="11">
        <f>IF(B23="","",EDATE(B23,12))</f>
      </c>
      <c r="D23" s="9"/>
      <c r="E23" s="11">
        <f>IF(D23="","",EDATE(D23,36))</f>
      </c>
      <c r="F23" s="9"/>
      <c r="G23" s="11">
        <f>IF(F23="","",EDATE(F23,12))</f>
      </c>
      <c r="H23" s="9"/>
      <c r="I23" s="11">
        <f>IF(H23="","",EDATE(H23,12))</f>
      </c>
      <c r="J23" s="9"/>
      <c r="K23" s="11">
        <f>IF(J23="","",EDATE(J23,36))</f>
      </c>
      <c r="L23" s="9"/>
      <c r="M23" s="11">
        <f>IF(L23="","",EDATE(L23,12))</f>
      </c>
      <c r="N23" s="9"/>
      <c r="O23" s="11">
        <f>IF(N23="","",EDATE(N23,12))</f>
      </c>
      <c r="P23" s="9"/>
      <c r="Q23" s="11">
        <f>IF(P23="","",EDATE(P23,24))</f>
      </c>
    </row>
    <row r="24">
      <c r="A24" s="6"/>
      <c r="B24" s="9"/>
      <c r="C24" s="11">
        <f>IF(B24="","",EDATE(B24,12))</f>
      </c>
      <c r="D24" s="9"/>
      <c r="E24" s="11">
        <f>IF(D24="","",EDATE(D24,36))</f>
      </c>
      <c r="F24" s="9"/>
      <c r="G24" s="11">
        <f>IF(F24="","",EDATE(F24,12))</f>
      </c>
      <c r="H24" s="9"/>
      <c r="I24" s="11">
        <f>IF(H24="","",EDATE(H24,12))</f>
      </c>
      <c r="J24" s="9"/>
      <c r="K24" s="11">
        <f>IF(J24="","",EDATE(J24,36))</f>
      </c>
      <c r="L24" s="9"/>
      <c r="M24" s="11">
        <f>IF(L24="","",EDATE(L24,12))</f>
      </c>
      <c r="N24" s="9"/>
      <c r="O24" s="11">
        <f>IF(N24="","",EDATE(N24,12))</f>
      </c>
      <c r="P24" s="9"/>
      <c r="Q24" s="11">
        <f>IF(P24="","",EDATE(P24,24))</f>
      </c>
    </row>
    <row r="25">
      <c r="A25" s="6"/>
      <c r="B25" s="9"/>
      <c r="C25" s="11">
        <f>IF(B25="","",EDATE(B25,12))</f>
      </c>
      <c r="D25" s="9"/>
      <c r="E25" s="11">
        <f>IF(D25="","",EDATE(D25,36))</f>
      </c>
      <c r="F25" s="9"/>
      <c r="G25" s="11">
        <f>IF(F25="","",EDATE(F25,12))</f>
      </c>
      <c r="H25" s="9"/>
      <c r="I25" s="11">
        <f>IF(H25="","",EDATE(H25,12))</f>
      </c>
      <c r="J25" s="9"/>
      <c r="K25" s="11">
        <f>IF(J25="","",EDATE(J25,36))</f>
      </c>
      <c r="L25" s="9"/>
      <c r="M25" s="11">
        <f>IF(L25="","",EDATE(L25,12))</f>
      </c>
      <c r="N25" s="9"/>
      <c r="O25" s="11">
        <f>IF(N25="","",EDATE(N25,12))</f>
      </c>
      <c r="P25" s="9"/>
      <c r="Q25" s="11">
        <f>IF(P25="","",EDATE(P25,24))</f>
      </c>
    </row>
    <row r="26">
      <c r="A26" s="6"/>
      <c r="B26" s="9"/>
      <c r="C26" s="11">
        <f>IF(B26="","",EDATE(B26,12))</f>
      </c>
      <c r="D26" s="9"/>
      <c r="E26" s="11">
        <f>IF(D26="","",EDATE(D26,36))</f>
      </c>
      <c r="F26" s="9"/>
      <c r="G26" s="11">
        <f>IF(F26="","",EDATE(F26,12))</f>
      </c>
      <c r="H26" s="9"/>
      <c r="I26" s="11">
        <f>IF(H26="","",EDATE(H26,12))</f>
      </c>
      <c r="J26" s="9"/>
      <c r="K26" s="11">
        <f>IF(J26="","",EDATE(J26,36))</f>
      </c>
      <c r="L26" s="9"/>
      <c r="M26" s="11">
        <f>IF(L26="","",EDATE(L26,12))</f>
      </c>
      <c r="N26" s="9"/>
      <c r="O26" s="11">
        <f>IF(N26="","",EDATE(N26,12))</f>
      </c>
      <c r="P26" s="9"/>
      <c r="Q26" s="11">
        <f>IF(P26="","",EDATE(P26,24))</f>
      </c>
    </row>
  </sheetData>
  <mergeCells count="10">
    <mergeCell ref="A1:E1"/>
    <mergeCell ref="A2:K2"/>
    <mergeCell ref="B4:C4"/>
    <mergeCell ref="D4:E4"/>
    <mergeCell ref="F4:G4"/>
    <mergeCell ref="H4:I4"/>
    <mergeCell ref="J4:K4"/>
    <mergeCell ref="L4:M4"/>
    <mergeCell ref="N4:O4"/>
    <mergeCell ref="P4:Q4"/>
  </mergeCells>
  <conditionalFormatting sqref="C6:C26">
    <cfRule type="expression" dxfId="0" priority="1">
      <formula>AND(C6&lt;&gt;"",C6&lt;TODAY())</formula>
    </cfRule>
    <cfRule type="expression" dxfId="1" priority="2">
      <formula>AND(C6&lt;&gt;"",C6&lt;TODAY()+30)</formula>
    </cfRule>
    <cfRule type="expression" dxfId="2" priority="3">
      <formula>AND(C6&lt;&gt;"",C6&gt;=TODAY()+30)</formula>
    </cfRule>
  </conditionalFormatting>
  <conditionalFormatting sqref="E6:E26">
    <cfRule type="expression" dxfId="0" priority="4">
      <formula>AND(E6&lt;&gt;"",E6&lt;TODAY())</formula>
    </cfRule>
    <cfRule type="expression" dxfId="1" priority="5">
      <formula>AND(E6&lt;&gt;"",E6&lt;TODAY()+30)</formula>
    </cfRule>
    <cfRule type="expression" dxfId="2" priority="6">
      <formula>AND(E6&lt;&gt;"",E6&gt;=TODAY()+30)</formula>
    </cfRule>
  </conditionalFormatting>
  <conditionalFormatting sqref="G6:G26">
    <cfRule type="expression" dxfId="0" priority="7">
      <formula>AND(G6&lt;&gt;"",G6&lt;TODAY())</formula>
    </cfRule>
    <cfRule type="expression" dxfId="1" priority="8">
      <formula>AND(G6&lt;&gt;"",G6&lt;TODAY()+30)</formula>
    </cfRule>
    <cfRule type="expression" dxfId="2" priority="9">
      <formula>AND(G6&lt;&gt;"",G6&gt;=TODAY()+30)</formula>
    </cfRule>
  </conditionalFormatting>
  <conditionalFormatting sqref="I6:I26">
    <cfRule type="expression" dxfId="0" priority="10">
      <formula>AND(I6&lt;&gt;"",I6&lt;TODAY())</formula>
    </cfRule>
    <cfRule type="expression" dxfId="1" priority="11">
      <formula>AND(I6&lt;&gt;"",I6&lt;TODAY()+30)</formula>
    </cfRule>
    <cfRule type="expression" dxfId="2" priority="12">
      <formula>AND(I6&lt;&gt;"",I6&gt;=TODAY()+30)</formula>
    </cfRule>
  </conditionalFormatting>
  <conditionalFormatting sqref="K6:K26">
    <cfRule type="expression" dxfId="0" priority="13">
      <formula>AND(K6&lt;&gt;"",K6&lt;TODAY())</formula>
    </cfRule>
    <cfRule type="expression" dxfId="1" priority="14">
      <formula>AND(K6&lt;&gt;"",K6&lt;TODAY()+30)</formula>
    </cfRule>
    <cfRule type="expression" dxfId="2" priority="15">
      <formula>AND(K6&lt;&gt;"",K6&gt;=TODAY()+30)</formula>
    </cfRule>
  </conditionalFormatting>
  <conditionalFormatting sqref="M6:M26">
    <cfRule type="expression" dxfId="0" priority="16">
      <formula>AND(M6&lt;&gt;"",M6&lt;TODAY())</formula>
    </cfRule>
    <cfRule type="expression" dxfId="1" priority="17">
      <formula>AND(M6&lt;&gt;"",M6&lt;TODAY()+30)</formula>
    </cfRule>
    <cfRule type="expression" dxfId="2" priority="18">
      <formula>AND(M6&lt;&gt;"",M6&gt;=TODAY()+30)</formula>
    </cfRule>
  </conditionalFormatting>
  <conditionalFormatting sqref="O6:O26">
    <cfRule type="expression" dxfId="0" priority="19">
      <formula>AND(O6&lt;&gt;"",O6&lt;TODAY())</formula>
    </cfRule>
    <cfRule type="expression" dxfId="1" priority="20">
      <formula>AND(O6&lt;&gt;"",O6&lt;TODAY()+30)</formula>
    </cfRule>
    <cfRule type="expression" dxfId="2" priority="21">
      <formula>AND(O6&lt;&gt;"",O6&gt;=TODAY()+30)</formula>
    </cfRule>
  </conditionalFormatting>
  <conditionalFormatting sqref="Q6:Q26">
    <cfRule type="expression" dxfId="0" priority="22">
      <formula>AND(Q6&lt;&gt;"",Q6&lt;TODAY())</formula>
    </cfRule>
    <cfRule type="expression" dxfId="1" priority="23">
      <formula>AND(Q6&lt;&gt;"",Q6&lt;TODAY()+30)</formula>
    </cfRule>
    <cfRule type="expression" dxfId="2" priority="24">
      <formula>AND(Q6&lt;&gt;"",Q6&gt;=TODAY()+30)</formula>
    </cfRule>
  </conditionalFormatting>
  <pageMargins left="0.4" right="0.4" top="0.5" bottom="0.5" header="0.3" footer="0.3"/>
  <pageSetup paperSize="9" orientation="landscape" fitToWidth="1" fitToHeight="0"/>
</worksheet>
</file>

<file path=xl/worksheets/sheet6.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2" customWidth="1"/>
    <col min="3" max="3" width="16" customWidth="1"/>
    <col min="4" max="4" width="12" customWidth="1"/>
    <col min="5" max="5" width="12" customWidth="1"/>
  </cols>
  <sheetData>
    <row r="1" ht="24" customHeight="1">
      <c r="A1" s="1" t="inlineStr">
        <is>
          <t>Supervision tracker</t>
        </is>
      </c>
    </row>
    <row r="2">
      <c r="A2" s="2" t="inlineStr">
        <is>
          <t>Name, your cycle in days (28 is common), and the date of the last supervision. The tinted columns compute themselves. The manager goes on this list too.</t>
        </is>
      </c>
    </row>
    <row r="3"/>
    <row r="4" ht="30" customHeight="1">
      <c r="A4" s="4" t="inlineStr">
        <is>
          <t>Staff member</t>
        </is>
      </c>
      <c r="B4" s="4" t="inlineStr">
        <is>
          <t>Cycle (days)</t>
        </is>
      </c>
      <c r="C4" s="4" t="inlineStr">
        <is>
          <t>Last supervision</t>
        </is>
      </c>
      <c r="D4" s="4" t="inlineStr">
        <is>
          <t>Days since</t>
        </is>
      </c>
      <c r="E4" s="4" t="inlineStr">
        <is>
          <t>Standing</t>
        </is>
      </c>
    </row>
    <row r="5">
      <c r="A5" s="10" t="inlineStr">
        <is>
          <t>Example, overtype or delete me</t>
        </is>
      </c>
      <c r="B5" s="9">
        <v>28</v>
      </c>
      <c r="C5" s="16">
        <v>46232</v>
      </c>
      <c r="D5" s="12">
        <f>IF(C5="","",TODAY()-C5)</f>
      </c>
      <c r="E5" s="12">
        <f>IF(C5="","",IF(TODAY()-C5&gt;B5,"OVERDUE",IF(TODAY()-C5&gt;B5-7,"DUE","OK")))</f>
      </c>
    </row>
    <row r="6">
      <c r="A6" s="6"/>
      <c r="B6" s="9"/>
      <c r="C6" s="9"/>
      <c r="D6" s="12">
        <f>IF(C6="","",TODAY()-C6)</f>
      </c>
      <c r="E6" s="12">
        <f>IF(C6="","",IF(TODAY()-C6&gt;B6,"OVERDUE",IF(TODAY()-C6&gt;B6-7,"DUE","OK")))</f>
      </c>
    </row>
    <row r="7">
      <c r="A7" s="6"/>
      <c r="B7" s="9"/>
      <c r="C7" s="9"/>
      <c r="D7" s="12">
        <f>IF(C7="","",TODAY()-C7)</f>
      </c>
      <c r="E7" s="12">
        <f>IF(C7="","",IF(TODAY()-C7&gt;B7,"OVERDUE",IF(TODAY()-C7&gt;B7-7,"DUE","OK")))</f>
      </c>
    </row>
    <row r="8">
      <c r="A8" s="6"/>
      <c r="B8" s="9"/>
      <c r="C8" s="9"/>
      <c r="D8" s="12">
        <f>IF(C8="","",TODAY()-C8)</f>
      </c>
      <c r="E8" s="12">
        <f>IF(C8="","",IF(TODAY()-C8&gt;B8,"OVERDUE",IF(TODAY()-C8&gt;B8-7,"DUE","OK")))</f>
      </c>
    </row>
    <row r="9">
      <c r="A9" s="6"/>
      <c r="B9" s="9"/>
      <c r="C9" s="9"/>
      <c r="D9" s="12">
        <f>IF(C9="","",TODAY()-C9)</f>
      </c>
      <c r="E9" s="12">
        <f>IF(C9="","",IF(TODAY()-C9&gt;B9,"OVERDUE",IF(TODAY()-C9&gt;B9-7,"DUE","OK")))</f>
      </c>
    </row>
    <row r="10">
      <c r="A10" s="6"/>
      <c r="B10" s="9"/>
      <c r="C10" s="9"/>
      <c r="D10" s="12">
        <f>IF(C10="","",TODAY()-C10)</f>
      </c>
      <c r="E10" s="12">
        <f>IF(C10="","",IF(TODAY()-C10&gt;B10,"OVERDUE",IF(TODAY()-C10&gt;B10-7,"DUE","OK")))</f>
      </c>
    </row>
    <row r="11">
      <c r="A11" s="6"/>
      <c r="B11" s="9"/>
      <c r="C11" s="9"/>
      <c r="D11" s="12">
        <f>IF(C11="","",TODAY()-C11)</f>
      </c>
      <c r="E11" s="12">
        <f>IF(C11="","",IF(TODAY()-C11&gt;B11,"OVERDUE",IF(TODAY()-C11&gt;B11-7,"DUE","OK")))</f>
      </c>
    </row>
    <row r="12">
      <c r="A12" s="6"/>
      <c r="B12" s="9"/>
      <c r="C12" s="9"/>
      <c r="D12" s="12">
        <f>IF(C12="","",TODAY()-C12)</f>
      </c>
      <c r="E12" s="12">
        <f>IF(C12="","",IF(TODAY()-C12&gt;B12,"OVERDUE",IF(TODAY()-C12&gt;B12-7,"DUE","OK")))</f>
      </c>
    </row>
    <row r="13">
      <c r="A13" s="6"/>
      <c r="B13" s="9"/>
      <c r="C13" s="9"/>
      <c r="D13" s="12">
        <f>IF(C13="","",TODAY()-C13)</f>
      </c>
      <c r="E13" s="12">
        <f>IF(C13="","",IF(TODAY()-C13&gt;B13,"OVERDUE",IF(TODAY()-C13&gt;B13-7,"DUE","OK")))</f>
      </c>
    </row>
    <row r="14">
      <c r="A14" s="6"/>
      <c r="B14" s="9"/>
      <c r="C14" s="9"/>
      <c r="D14" s="12">
        <f>IF(C14="","",TODAY()-C14)</f>
      </c>
      <c r="E14" s="12">
        <f>IF(C14="","",IF(TODAY()-C14&gt;B14,"OVERDUE",IF(TODAY()-C14&gt;B14-7,"DUE","OK")))</f>
      </c>
    </row>
    <row r="15">
      <c r="A15" s="6"/>
      <c r="B15" s="9"/>
      <c r="C15" s="9"/>
      <c r="D15" s="12">
        <f>IF(C15="","",TODAY()-C15)</f>
      </c>
      <c r="E15" s="12">
        <f>IF(C15="","",IF(TODAY()-C15&gt;B15,"OVERDUE",IF(TODAY()-C15&gt;B15-7,"DUE","OK")))</f>
      </c>
    </row>
    <row r="16">
      <c r="A16" s="6"/>
      <c r="B16" s="9"/>
      <c r="C16" s="9"/>
      <c r="D16" s="12">
        <f>IF(C16="","",TODAY()-C16)</f>
      </c>
      <c r="E16" s="12">
        <f>IF(C16="","",IF(TODAY()-C16&gt;B16,"OVERDUE",IF(TODAY()-C16&gt;B16-7,"DUE","OK")))</f>
      </c>
    </row>
    <row r="17">
      <c r="A17" s="6"/>
      <c r="B17" s="9"/>
      <c r="C17" s="9"/>
      <c r="D17" s="12">
        <f>IF(C17="","",TODAY()-C17)</f>
      </c>
      <c r="E17" s="12">
        <f>IF(C17="","",IF(TODAY()-C17&gt;B17,"OVERDUE",IF(TODAY()-C17&gt;B17-7,"DUE","OK")))</f>
      </c>
    </row>
    <row r="18">
      <c r="A18" s="6"/>
      <c r="B18" s="9"/>
      <c r="C18" s="9"/>
      <c r="D18" s="12">
        <f>IF(C18="","",TODAY()-C18)</f>
      </c>
      <c r="E18" s="12">
        <f>IF(C18="","",IF(TODAY()-C18&gt;B18,"OVERDUE",IF(TODAY()-C18&gt;B18-7,"DUE","OK")))</f>
      </c>
    </row>
    <row r="19">
      <c r="A19" s="6"/>
      <c r="B19" s="9"/>
      <c r="C19" s="9"/>
      <c r="D19" s="12">
        <f>IF(C19="","",TODAY()-C19)</f>
      </c>
      <c r="E19" s="12">
        <f>IF(C19="","",IF(TODAY()-C19&gt;B19,"OVERDUE",IF(TODAY()-C19&gt;B19-7,"DUE","OK")))</f>
      </c>
    </row>
    <row r="20">
      <c r="A20" s="6"/>
      <c r="B20" s="9"/>
      <c r="C20" s="9"/>
      <c r="D20" s="12">
        <f>IF(C20="","",TODAY()-C20)</f>
      </c>
      <c r="E20" s="12">
        <f>IF(C20="","",IF(TODAY()-C20&gt;B20,"OVERDUE",IF(TODAY()-C20&gt;B20-7,"DUE","OK")))</f>
      </c>
    </row>
    <row r="21">
      <c r="A21" s="6"/>
      <c r="B21" s="9"/>
      <c r="C21" s="9"/>
      <c r="D21" s="12">
        <f>IF(C21="","",TODAY()-C21)</f>
      </c>
      <c r="E21" s="12">
        <f>IF(C21="","",IF(TODAY()-C21&gt;B21,"OVERDUE",IF(TODAY()-C21&gt;B21-7,"DUE","OK")))</f>
      </c>
    </row>
    <row r="22">
      <c r="A22" s="6"/>
      <c r="B22" s="9"/>
      <c r="C22" s="9"/>
      <c r="D22" s="12">
        <f>IF(C22="","",TODAY()-C22)</f>
      </c>
      <c r="E22" s="12">
        <f>IF(C22="","",IF(TODAY()-C22&gt;B22,"OVERDUE",IF(TODAY()-C22&gt;B22-7,"DUE","OK")))</f>
      </c>
    </row>
    <row r="23">
      <c r="A23" s="6"/>
      <c r="B23" s="9"/>
      <c r="C23" s="9"/>
      <c r="D23" s="12">
        <f>IF(C23="","",TODAY()-C23)</f>
      </c>
      <c r="E23" s="12">
        <f>IF(C23="","",IF(TODAY()-C23&gt;B23,"OVERDUE",IF(TODAY()-C23&gt;B23-7,"DUE","OK")))</f>
      </c>
    </row>
    <row r="24">
      <c r="A24" s="6"/>
      <c r="B24" s="9"/>
      <c r="C24" s="9"/>
      <c r="D24" s="12">
        <f>IF(C24="","",TODAY()-C24)</f>
      </c>
      <c r="E24" s="12">
        <f>IF(C24="","",IF(TODAY()-C24&gt;B24,"OVERDUE",IF(TODAY()-C24&gt;B24-7,"DUE","OK")))</f>
      </c>
    </row>
    <row r="25">
      <c r="A25" s="6"/>
      <c r="B25" s="9"/>
      <c r="C25" s="9"/>
      <c r="D25" s="12">
        <f>IF(C25="","",TODAY()-C25)</f>
      </c>
      <c r="E25" s="12">
        <f>IF(C25="","",IF(TODAY()-C25&gt;B25,"OVERDUE",IF(TODAY()-C25&gt;B25-7,"DUE","OK")))</f>
      </c>
    </row>
  </sheetData>
  <mergeCells count="2">
    <mergeCell ref="A1:C1"/>
    <mergeCell ref="A2:E2"/>
  </mergeCells>
  <conditionalFormatting sqref="E5:E25">
    <cfRule type="expression" dxfId="0" priority="1">
      <formula>E5="OVERDUE"</formula>
    </cfRule>
    <cfRule type="expression" dxfId="1" priority="2">
      <formula>E5="DUE"</formula>
    </cfRule>
    <cfRule type="expression" dxfId="2" priority="3">
      <formula>E5="OK"</formula>
    </cfRule>
  </conditionalFormatting>
  <pageMargins left="0.4" right="0.4" top="0.5" bottom="0.5" header="0.3" footer="0.3"/>
  <pageSetup paperSize="9" orientation="portrait" fitToWidth="1" fitToHeight="0"/>
</worksheet>
</file>

<file path=xl/worksheets/sheet7.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8" customWidth="1"/>
    <col min="3" max="3" width="20" customWidth="1"/>
    <col min="4" max="4" width="16" customWidth="1"/>
    <col min="5" max="5" width="15" customWidth="1"/>
    <col min="6" max="6" width="24" customWidth="1"/>
  </cols>
  <sheetData>
    <row r="1" ht="24" customHeight="1">
      <c r="A1" s="1" t="inlineStr">
        <is>
          <t>DBS re-check log</t>
        </is>
      </c>
    </row>
    <row r="2">
      <c r="A2" s="2" t="inlineStr">
        <is>
          <t>For staff on the Update Service: there is no set frequency in the regulations, and a common policy is a status check every six months (one minute each, with consent). Note the date and the next one computes itself.</t>
        </is>
      </c>
    </row>
    <row r="3"/>
    <row r="4" ht="30" customHeight="1">
      <c r="A4" s="4" t="inlineStr">
        <is>
          <t>Staff member</t>
        </is>
      </c>
      <c r="B4" s="4" t="inlineStr">
        <is>
          <t>Certificate number</t>
        </is>
      </c>
      <c r="C4" s="4" t="inlineStr">
        <is>
          <t>On the Update Service?</t>
        </is>
      </c>
      <c r="D4" s="4" t="inlineStr">
        <is>
          <t>Last status check</t>
        </is>
      </c>
      <c r="E4" s="4" t="inlineStr">
        <is>
          <t>Next check due</t>
        </is>
      </c>
      <c r="F4" s="4" t="inlineStr">
        <is>
          <t>Notes</t>
        </is>
      </c>
    </row>
    <row r="5">
      <c r="A5" s="10" t="inlineStr">
        <is>
          <t>Example, overtype or delete me</t>
        </is>
      </c>
      <c r="B5" s="6" t="inlineStr">
        <is>
          <t>001234567890</t>
        </is>
      </c>
      <c r="C5" s="9" t="inlineStr">
        <is>
          <t>Yes</t>
        </is>
      </c>
      <c r="D5" s="16">
        <v>46072</v>
      </c>
      <c r="E5" s="11">
        <f>IF(D5="","",EDATE(D5,6))</f>
      </c>
      <c r="F5" s="6" t="inlineStr">
        <is>
          <t>No change</t>
        </is>
      </c>
    </row>
    <row r="6">
      <c r="A6" s="6"/>
      <c r="B6" s="6"/>
      <c r="C6" s="9"/>
      <c r="D6" s="9"/>
      <c r="E6" s="11">
        <f>IF(D6="","",EDATE(D6,6))</f>
      </c>
      <c r="F6" s="6"/>
    </row>
    <row r="7">
      <c r="A7" s="6"/>
      <c r="B7" s="6"/>
      <c r="C7" s="9"/>
      <c r="D7" s="9"/>
      <c r="E7" s="11">
        <f>IF(D7="","",EDATE(D7,6))</f>
      </c>
      <c r="F7" s="6"/>
    </row>
    <row r="8">
      <c r="A8" s="6"/>
      <c r="B8" s="6"/>
      <c r="C8" s="9"/>
      <c r="D8" s="9"/>
      <c r="E8" s="11">
        <f>IF(D8="","",EDATE(D8,6))</f>
      </c>
      <c r="F8" s="6"/>
    </row>
    <row r="9">
      <c r="A9" s="6"/>
      <c r="B9" s="6"/>
      <c r="C9" s="9"/>
      <c r="D9" s="9"/>
      <c r="E9" s="11">
        <f>IF(D9="","",EDATE(D9,6))</f>
      </c>
      <c r="F9" s="6"/>
    </row>
    <row r="10">
      <c r="A10" s="6"/>
      <c r="B10" s="6"/>
      <c r="C10" s="9"/>
      <c r="D10" s="9"/>
      <c r="E10" s="11">
        <f>IF(D10="","",EDATE(D10,6))</f>
      </c>
      <c r="F10" s="6"/>
    </row>
    <row r="11">
      <c r="A11" s="6"/>
      <c r="B11" s="6"/>
      <c r="C11" s="9"/>
      <c r="D11" s="9"/>
      <c r="E11" s="11">
        <f>IF(D11="","",EDATE(D11,6))</f>
      </c>
      <c r="F11" s="6"/>
    </row>
    <row r="12">
      <c r="A12" s="6"/>
      <c r="B12" s="6"/>
      <c r="C12" s="9"/>
      <c r="D12" s="9"/>
      <c r="E12" s="11">
        <f>IF(D12="","",EDATE(D12,6))</f>
      </c>
      <c r="F12" s="6"/>
    </row>
    <row r="13">
      <c r="A13" s="6"/>
      <c r="B13" s="6"/>
      <c r="C13" s="9"/>
      <c r="D13" s="9"/>
      <c r="E13" s="11">
        <f>IF(D13="","",EDATE(D13,6))</f>
      </c>
      <c r="F13" s="6"/>
    </row>
    <row r="14">
      <c r="A14" s="6"/>
      <c r="B14" s="6"/>
      <c r="C14" s="9"/>
      <c r="D14" s="9"/>
      <c r="E14" s="11">
        <f>IF(D14="","",EDATE(D14,6))</f>
      </c>
      <c r="F14" s="6"/>
    </row>
    <row r="15">
      <c r="A15" s="6"/>
      <c r="B15" s="6"/>
      <c r="C15" s="9"/>
      <c r="D15" s="9"/>
      <c r="E15" s="11">
        <f>IF(D15="","",EDATE(D15,6))</f>
      </c>
      <c r="F15" s="6"/>
    </row>
    <row r="16">
      <c r="A16" s="6"/>
      <c r="B16" s="6"/>
      <c r="C16" s="9"/>
      <c r="D16" s="9"/>
      <c r="E16" s="11">
        <f>IF(D16="","",EDATE(D16,6))</f>
      </c>
      <c r="F16" s="6"/>
    </row>
    <row r="17">
      <c r="A17" s="6"/>
      <c r="B17" s="6"/>
      <c r="C17" s="9"/>
      <c r="D17" s="9"/>
      <c r="E17" s="11">
        <f>IF(D17="","",EDATE(D17,6))</f>
      </c>
      <c r="F17" s="6"/>
    </row>
    <row r="18">
      <c r="A18" s="6"/>
      <c r="B18" s="6"/>
      <c r="C18" s="9"/>
      <c r="D18" s="9"/>
      <c r="E18" s="11">
        <f>IF(D18="","",EDATE(D18,6))</f>
      </c>
      <c r="F18" s="6"/>
    </row>
    <row r="19">
      <c r="A19" s="6"/>
      <c r="B19" s="6"/>
      <c r="C19" s="9"/>
      <c r="D19" s="9"/>
      <c r="E19" s="11">
        <f>IF(D19="","",EDATE(D19,6))</f>
      </c>
      <c r="F19" s="6"/>
    </row>
    <row r="20">
      <c r="A20" s="6"/>
      <c r="B20" s="6"/>
      <c r="C20" s="9"/>
      <c r="D20" s="9"/>
      <c r="E20" s="11">
        <f>IF(D20="","",EDATE(D20,6))</f>
      </c>
      <c r="F20" s="6"/>
    </row>
    <row r="21">
      <c r="A21" s="6"/>
      <c r="B21" s="6"/>
      <c r="C21" s="9"/>
      <c r="D21" s="9"/>
      <c r="E21" s="11">
        <f>IF(D21="","",EDATE(D21,6))</f>
      </c>
      <c r="F21" s="6"/>
    </row>
    <row r="22">
      <c r="A22" s="6"/>
      <c r="B22" s="6"/>
      <c r="C22" s="9"/>
      <c r="D22" s="9"/>
      <c r="E22" s="11">
        <f>IF(D22="","",EDATE(D22,6))</f>
      </c>
      <c r="F22" s="6"/>
    </row>
    <row r="23">
      <c r="A23" s="6"/>
      <c r="B23" s="6"/>
      <c r="C23" s="9"/>
      <c r="D23" s="9"/>
      <c r="E23" s="11">
        <f>IF(D23="","",EDATE(D23,6))</f>
      </c>
      <c r="F23" s="6"/>
    </row>
    <row r="24">
      <c r="A24" s="6"/>
      <c r="B24" s="6"/>
      <c r="C24" s="9"/>
      <c r="D24" s="9"/>
      <c r="E24" s="11">
        <f>IF(D24="","",EDATE(D24,6))</f>
      </c>
      <c r="F24" s="6"/>
    </row>
    <row r="25">
      <c r="A25" s="6"/>
      <c r="B25" s="6"/>
      <c r="C25" s="9"/>
      <c r="D25" s="9"/>
      <c r="E25" s="11">
        <f>IF(D25="","",EDATE(D25,6))</f>
      </c>
      <c r="F25" s="6"/>
    </row>
  </sheetData>
  <mergeCells count="2">
    <mergeCell ref="A1:C1"/>
    <mergeCell ref="A2:F2"/>
  </mergeCells>
  <conditionalFormatting sqref="E5:E25">
    <cfRule type="expression" dxfId="0" priority="1">
      <formula>AND(E5&lt;&gt;"",E5&lt;TODAY())</formula>
    </cfRule>
    <cfRule type="expression" dxfId="1" priority="2">
      <formula>AND(E5&lt;&gt;"",E5&lt;TODAY()+30)</formula>
    </cfRule>
    <cfRule type="expression" dxfId="2" priority="3">
      <formula>AND(E5&lt;&gt;"",E5&gt;=TODAY()+30)</formula>
    </cfRule>
  </conditionalFormatting>
  <pageMargins left="0.4" right="0.4" top="0.5" bottom="0.5" header="0.3" footer="0.3"/>
  <pageSetup paperSize="9" orientation="portrait" fitToWidth="1" fitToHeight="0"/>
</worksheet>
</file>

<file path=xl/worksheets/sheet8.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30" customWidth="1"/>
    <col min="2" max="2" width="14" customWidth="1"/>
    <col min="3" max="3" width="20" customWidth="1"/>
    <col min="4" max="4" width="14" customWidth="1"/>
  </cols>
  <sheetData>
    <row r="1" ht="24" customHeight="1">
      <c r="A1" s="1" t="inlineStr">
        <is>
          <t>Governance clocks</t>
        </is>
      </c>
    </row>
    <row r="2">
      <c r="A2" s="2" t="inlineStr">
        <is>
          <t>Type the date each document was last reviewed; the next-due date computes itself. Below: the monthly independent visit grid.</t>
        </is>
      </c>
    </row>
    <row r="3"/>
    <row r="4" ht="30" customHeight="1">
      <c r="A4" s="4" t="inlineStr">
        <is>
          <t>Document</t>
        </is>
      </c>
      <c r="B4" s="4" t="inlineStr">
        <is>
          <t>Last reviewed</t>
        </is>
      </c>
      <c r="C4" s="4" t="inlineStr">
        <is>
          <t>Review every (months)</t>
        </is>
      </c>
      <c r="D4" s="4" t="inlineStr">
        <is>
          <t>Next due</t>
        </is>
      </c>
    </row>
    <row r="5">
      <c r="A5" s="6" t="inlineStr">
        <is>
          <t>Statement of purpose</t>
        </is>
      </c>
      <c r="B5" s="9"/>
      <c r="C5" s="9">
        <v>12</v>
      </c>
      <c r="D5" s="11">
        <f>IF(B5="","",EDATE(B5,C5))</f>
      </c>
    </row>
    <row r="6">
      <c r="A6" s="6" t="inlineStr">
        <is>
          <t>Location risk assessment</t>
        </is>
      </c>
      <c r="B6" s="9"/>
      <c r="C6" s="9">
        <v>12</v>
      </c>
      <c r="D6" s="11">
        <f>IF(B6="","",EDATE(B6,C6))</f>
      </c>
    </row>
    <row r="7">
      <c r="A7" s="6" t="inlineStr">
        <is>
          <t>Safeguarding policy</t>
        </is>
      </c>
      <c r="B7" s="9"/>
      <c r="C7" s="9">
        <v>12</v>
      </c>
      <c r="D7" s="11">
        <f>IF(B7="","",EDATE(B7,C7))</f>
      </c>
    </row>
    <row r="8">
      <c r="A8" s="6" t="inlineStr">
        <is>
          <t>Behaviour support policy</t>
        </is>
      </c>
      <c r="B8" s="9"/>
      <c r="C8" s="9">
        <v>12</v>
      </c>
      <c r="D8" s="11">
        <f>IF(B8="","",EDATE(B8,C8))</f>
      </c>
    </row>
    <row r="9">
      <c r="A9" s="6" t="inlineStr">
        <is>
          <t>Missing child policy</t>
        </is>
      </c>
      <c r="B9" s="9"/>
      <c r="C9" s="9">
        <v>12</v>
      </c>
      <c r="D9" s="11">
        <f>IF(B9="","",EDATE(B9,C9))</f>
      </c>
    </row>
    <row r="10">
      <c r="A10" s="6" t="inlineStr">
        <is>
          <t>Complaints policy</t>
        </is>
      </c>
      <c r="B10" s="9"/>
      <c r="C10" s="9">
        <v>12</v>
      </c>
      <c r="D10" s="11">
        <f>IF(B10="","",EDATE(B10,C10))</f>
      </c>
    </row>
    <row r="11">
      <c r="A11" s="6" t="inlineStr">
        <is>
          <t>Lone working assessment</t>
        </is>
      </c>
      <c r="B11" s="9"/>
      <c r="C11" s="9">
        <v>12</v>
      </c>
      <c r="D11" s="11">
        <f>IF(B11="","",EDATE(B11,C11))</f>
      </c>
    </row>
    <row r="12">
      <c r="A12" s="6" t="inlineStr">
        <is>
          <t>Workforce plan</t>
        </is>
      </c>
      <c r="B12" s="9"/>
      <c r="C12" s="9">
        <v>12</v>
      </c>
      <c r="D12" s="11">
        <f>IF(B12="","",EDATE(B12,C12))</f>
      </c>
    </row>
    <row r="13"/>
    <row r="14">
      <c r="A14" s="3" t="inlineStr">
        <is>
          <t>The monthly visit (regulation 44)</t>
        </is>
      </c>
    </row>
    <row r="15">
      <c r="A15" s="4" t="inlineStr">
        <is>
          <t>Month</t>
        </is>
      </c>
      <c r="B15" s="4" t="inlineStr">
        <is>
          <t>Visit date</t>
        </is>
      </c>
      <c r="C15" s="4" t="inlineStr">
        <is>
          <t>Report received</t>
        </is>
      </c>
      <c r="D15" s="4" t="inlineStr">
        <is>
          <t>Actions all closed?</t>
        </is>
      </c>
    </row>
    <row r="16">
      <c r="A16" s="6" t="inlineStr">
        <is>
          <t>January</t>
        </is>
      </c>
      <c r="B16" s="9"/>
      <c r="C16" s="9"/>
      <c r="D16" s="9"/>
    </row>
    <row r="17">
      <c r="A17" s="6" t="inlineStr">
        <is>
          <t>February</t>
        </is>
      </c>
      <c r="B17" s="9"/>
      <c r="C17" s="9"/>
      <c r="D17" s="9"/>
    </row>
    <row r="18">
      <c r="A18" s="6" t="inlineStr">
        <is>
          <t>March</t>
        </is>
      </c>
      <c r="B18" s="9"/>
      <c r="C18" s="9"/>
      <c r="D18" s="9"/>
    </row>
    <row r="19">
      <c r="A19" s="6" t="inlineStr">
        <is>
          <t>April</t>
        </is>
      </c>
      <c r="B19" s="9"/>
      <c r="C19" s="9"/>
      <c r="D19" s="9"/>
    </row>
    <row r="20">
      <c r="A20" s="6" t="inlineStr">
        <is>
          <t>May</t>
        </is>
      </c>
      <c r="B20" s="9"/>
      <c r="C20" s="9"/>
      <c r="D20" s="9"/>
    </row>
    <row r="21">
      <c r="A21" s="6" t="inlineStr">
        <is>
          <t>June</t>
        </is>
      </c>
      <c r="B21" s="9"/>
      <c r="C21" s="9"/>
      <c r="D21" s="9"/>
    </row>
    <row r="22">
      <c r="A22" s="6" t="inlineStr">
        <is>
          <t>July</t>
        </is>
      </c>
      <c r="B22" s="9"/>
      <c r="C22" s="9"/>
      <c r="D22" s="9"/>
    </row>
    <row r="23">
      <c r="A23" s="6" t="inlineStr">
        <is>
          <t>August</t>
        </is>
      </c>
      <c r="B23" s="9"/>
      <c r="C23" s="9"/>
      <c r="D23" s="9"/>
    </row>
    <row r="24">
      <c r="A24" s="6" t="inlineStr">
        <is>
          <t>September</t>
        </is>
      </c>
      <c r="B24" s="9"/>
      <c r="C24" s="9"/>
      <c r="D24" s="9"/>
    </row>
    <row r="25">
      <c r="A25" s="6" t="inlineStr">
        <is>
          <t>October</t>
        </is>
      </c>
      <c r="B25" s="9"/>
      <c r="C25" s="9"/>
      <c r="D25" s="9"/>
    </row>
    <row r="26">
      <c r="A26" s="6" t="inlineStr">
        <is>
          <t>November</t>
        </is>
      </c>
      <c r="B26" s="9"/>
      <c r="C26" s="9"/>
      <c r="D26" s="9"/>
    </row>
    <row r="27">
      <c r="A27" s="6" t="inlineStr">
        <is>
          <t>December</t>
        </is>
      </c>
      <c r="B27" s="9"/>
      <c r="C27" s="9"/>
      <c r="D27" s="9"/>
    </row>
    <row r="28"/>
    <row r="29">
      <c r="A29" s="7" t="inlineStr">
        <is>
          <t>Reg 45 quality of care review: due every six months, sent to Ofsted within 28 days of completing it.</t>
        </is>
      </c>
    </row>
  </sheetData>
  <mergeCells count="2">
    <mergeCell ref="A1:C1"/>
    <mergeCell ref="A2:D2"/>
  </mergeCells>
  <conditionalFormatting sqref="D5:D12">
    <cfRule type="expression" dxfId="0" priority="1">
      <formula>AND(D5&lt;&gt;"",D5&lt;TODAY())</formula>
    </cfRule>
    <cfRule type="expression" dxfId="1" priority="2">
      <formula>AND(D5&lt;&gt;"",D5&lt;TODAY()+60)</formula>
    </cfRule>
    <cfRule type="expression" dxfId="2" priority="3">
      <formula>AND(D5&lt;&gt;"",D5&gt;=TODAY()+60)</formula>
    </cfRule>
  </conditionalFormatting>
  <pageMargins left="0.4" right="0.4" top="0.5" bottom="0.5" header="0.3" footer="0.3"/>
  <pageSetup paperSize="9" orientation="portrait" fitToWidth="1" fitToHeight="0"/>
</worksheet>
</file>

<file path=xl/worksheets/sheet9.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46" customWidth="1"/>
    <col min="2" max="2" width="44" customWidth="1"/>
    <col min="3" max="3" width="24" customWidth="1"/>
    <col min="4" max="4" width="11" customWidth="1"/>
    <col min="5" max="5" width="13" customWidth="1"/>
    <col min="6" max="6" width="24" customWidth="1"/>
  </cols>
  <sheetData>
    <row r="1" ht="24" customHeight="1">
      <c r="A1" s="1" t="inlineStr">
        <is>
          <t>The staff file: Schedule 2 and the other checks</t>
        </is>
      </c>
    </row>
    <row r="2" ht="32" customHeight="1">
      <c r="A2" s="8" t="inlineStr">
        <is>
          <t>One sheet per person: duplicate this tab and name it after them. The first six lines are what Schedule 2 of the Children's Homes (England) Regulations 2015 requires; the rest are other law or good practice, labelled as such.</t>
        </is>
      </c>
    </row>
    <row r="3"/>
    <row r="4" ht="30" customHeight="1">
      <c r="A4" s="4" t="inlineStr">
        <is>
          <t>What the file holds</t>
        </is>
      </c>
      <c r="B4" s="4" t="inlineStr">
        <is>
          <t>What satisfies it</t>
        </is>
      </c>
      <c r="C4" s="4" t="inlineStr">
        <is>
          <t>Basis</t>
        </is>
      </c>
      <c r="D4" s="4" t="inlineStr">
        <is>
          <t>In the file?</t>
        </is>
      </c>
      <c r="E4" s="4" t="inlineStr">
        <is>
          <t>Date checked</t>
        </is>
      </c>
      <c r="F4" s="4" t="inlineStr">
        <is>
          <t>Notes</t>
        </is>
      </c>
    </row>
    <row r="5" ht="32" customHeight="1">
      <c r="A5" s="5" t="inlineStr">
        <is>
          <t>Schedule 2, item 1: proof of identity, including a recent photograph</t>
        </is>
      </c>
      <c r="B5" s="13" t="inlineStr">
        <is>
          <t>Passport or licence plus a dated photo, copies in the file</t>
        </is>
      </c>
      <c r="C5" s="13" t="inlineStr">
        <is>
          <t>Regulation 32 and Schedule 2</t>
        </is>
      </c>
      <c r="D5" s="9"/>
      <c r="E5" s="9"/>
      <c r="F5" s="6"/>
    </row>
    <row r="6" ht="32" customHeight="1">
      <c r="A6" s="5" t="inlineStr">
        <is>
          <t>Schedule 2, item 2: enhanced DBS certificate, with the children's barred list check for regulated activity</t>
        </is>
      </c>
      <c r="B6" s="13" t="inlineStr">
        <is>
          <t>Certificate number and date recorded; never the disclosure content</t>
        </is>
      </c>
      <c r="C6" s="13" t="inlineStr">
        <is>
          <t>Schedule 2; Police Act 1997</t>
        </is>
      </c>
      <c r="D6" s="9"/>
      <c r="E6" s="9"/>
      <c r="F6" s="6"/>
    </row>
    <row r="7" ht="32" customHeight="1">
      <c r="A7" s="5" t="inlineStr">
        <is>
          <t>Schedule 2, item 3: two written references, including one from the most recent employer</t>
        </is>
      </c>
      <c r="B7" s="13" t="inlineStr">
        <is>
          <t>On file. Verifying by phone and noting the call is good practice, not a rule</t>
        </is>
      </c>
      <c r="C7" s="13" t="inlineStr">
        <is>
          <t>Schedule 2; Ofsted recruitment guidance</t>
        </is>
      </c>
      <c r="D7" s="9"/>
      <c r="E7" s="9"/>
      <c r="F7" s="6"/>
    </row>
    <row r="8" ht="32" customHeight="1">
      <c r="A8" s="5" t="inlineStr">
        <is>
          <t>Schedule 2, item 4: where they worked with children or vulnerable adults before, verification of why that work ended</t>
        </is>
      </c>
      <c r="B8" s="13" t="inlineStr">
        <is>
          <t>Checked as far as practicable, in writing</t>
        </is>
      </c>
      <c r="C8" s="13" t="inlineStr">
        <is>
          <t>Schedule 2</t>
        </is>
      </c>
      <c r="D8" s="9"/>
      <c r="E8" s="9"/>
      <c r="F8" s="6"/>
    </row>
    <row r="9" ht="32" customHeight="1">
      <c r="A9" s="5" t="inlineStr">
        <is>
          <t>Schedule 2, item 5: documentary evidence of the qualifications they consider relevant</t>
        </is>
      </c>
      <c r="B9" s="13" t="inlineStr">
        <is>
          <t>The certificates themselves, not a CV line</t>
        </is>
      </c>
      <c r="C9" s="13" t="inlineStr">
        <is>
          <t>Schedule 2</t>
        </is>
      </c>
      <c r="D9" s="9"/>
      <c r="E9" s="9"/>
      <c r="F9" s="6"/>
    </row>
    <row r="10" ht="32" customHeight="1">
      <c r="A10" s="5" t="inlineStr">
        <is>
          <t>Schedule 2, item 6: a full employment history with a satisfactory written explanation of any gaps</t>
        </is>
      </c>
      <c r="B10" s="13" t="inlineStr">
        <is>
          <t>Every gap identified and the person's explanation recorded and, where needed, followed up (Employment gaps tab)</t>
        </is>
      </c>
      <c r="C10" s="13" t="inlineStr">
        <is>
          <t>Schedule 2; Ofsted recruitment guidance</t>
        </is>
      </c>
      <c r="D10" s="9"/>
      <c r="E10" s="9"/>
      <c r="F10" s="6"/>
    </row>
    <row r="11" ht="32" customHeight="1">
      <c r="A11" s="5" t="inlineStr">
        <is>
          <t>Other: right to work in the UK</t>
        </is>
      </c>
      <c r="B11" s="13" t="inlineStr">
        <is>
          <t>Evidence checked and copied before day one</t>
        </is>
      </c>
      <c r="C11" s="13" t="inlineStr">
        <is>
          <t>Immigration law, not Schedule 2</t>
        </is>
      </c>
      <c r="D11" s="9"/>
      <c r="E11" s="9"/>
      <c r="F11" s="6"/>
    </row>
    <row r="12" ht="32" customHeight="1">
      <c r="A12" s="5" t="inlineStr">
        <is>
          <t>Other: physically and mentally fit for the work</t>
        </is>
      </c>
      <c r="B12" s="13" t="inlineStr">
        <is>
          <t>Assessment date recorded; the assessment itself stays with occupational health</t>
        </is>
      </c>
      <c r="C12" s="13" t="inlineStr">
        <is>
          <t>Regulation 32(3)</t>
        </is>
      </c>
      <c r="D12" s="9"/>
      <c r="E12" s="9"/>
      <c r="F12" s="6"/>
    </row>
    <row r="13" ht="32" customHeight="1">
      <c r="A13" s="5" t="inlineStr">
        <is>
          <t>Good practice: interview record</t>
        </is>
      </c>
      <c r="B13" s="13" t="inlineStr">
        <is>
          <t>Who interviewed, when, the questions and the judgment reached</t>
        </is>
      </c>
      <c r="C13" s="13" t="inlineStr">
        <is>
          <t>Ofsted recruitment guidance</t>
        </is>
      </c>
      <c r="D13" s="9"/>
      <c r="E13" s="9"/>
      <c r="F13" s="6"/>
    </row>
    <row r="14" ht="32" customHeight="1">
      <c r="A14" s="5" t="inlineStr">
        <is>
          <t>Good practice: DBS Update Service status, if subscribed</t>
        </is>
      </c>
      <c r="B14" s="13" t="inlineStr">
        <is>
          <t>Consent noted and the date of the last status check</t>
        </is>
      </c>
      <c r="C14" s="13" t="inlineStr">
        <is>
          <t>DBS guidance</t>
        </is>
      </c>
      <c r="D14" s="9"/>
      <c r="E14" s="9"/>
      <c r="F14" s="6"/>
    </row>
  </sheetData>
  <mergeCells count="2">
    <mergeCell ref="A1:C1"/>
    <mergeCell ref="A2:F2"/>
  </mergeCells>
  <pageMargins left="0.4" right="0.4" top="0.5" bottom="0.5" header="0.3" footer="0.3"/>
  <pageSetup paperSize="9" orientation="landscape" fitToWidth="1" fitToHeight="0"/>
</worksheet>
</file>

<file path=xl/worksheets/sheet10.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16" customWidth="1"/>
    <col min="2" max="2" width="16" customWidth="1"/>
    <col min="3" max="3" width="36" customWidth="1"/>
    <col min="4" max="4" width="24" customWidth="1"/>
    <col min="5" max="5" width="26" customWidth="1"/>
    <col min="6" max="6" width="10" customWidth="1"/>
  </cols>
  <sheetData>
    <row r="1" ht="24" customHeight="1">
      <c r="A1" s="1" t="inlineStr">
        <is>
          <t>Employment history, gaps explained</t>
        </is>
      </c>
    </row>
    <row r="2" ht="44" customHeight="1">
      <c r="A2" s="8" t="inlineStr">
        <is>
          <t>Schedule 2 asks for a full employment history and a satisfactory written explanation of any gap. Work backwards from their current job. Record what the person tells you in their words; where they are unsure, say so and follow it up; where accounts do not fit, ask again. Never write an explanation for them.</t>
        </is>
      </c>
    </row>
    <row r="3"/>
    <row r="4" ht="30" customHeight="1">
      <c r="A4" s="4" t="inlineStr">
        <is>
          <t>From (month/year)</t>
        </is>
      </c>
      <c r="B4" s="4" t="inlineStr">
        <is>
          <t>To (month/year)</t>
        </is>
      </c>
      <c r="C4" s="4" t="inlineStr">
        <is>
          <t>Employer, course, or what the gap was</t>
        </is>
      </c>
      <c r="D4" s="4" t="inlineStr">
        <is>
          <t>Role</t>
        </is>
      </c>
      <c r="E4" s="4" t="inlineStr">
        <is>
          <t>Reason for leaving</t>
        </is>
      </c>
      <c r="F4" s="4" t="inlineStr">
        <is>
          <t>Checked?</t>
        </is>
      </c>
    </row>
    <row r="5">
      <c r="A5" s="9"/>
      <c r="B5" s="9"/>
      <c r="C5" s="6"/>
      <c r="D5" s="6"/>
      <c r="E5" s="6"/>
      <c r="F5" s="9"/>
    </row>
    <row r="6">
      <c r="A6" s="9"/>
      <c r="B6" s="9"/>
      <c r="C6" s="6"/>
      <c r="D6" s="6"/>
      <c r="E6" s="6"/>
      <c r="F6" s="9"/>
    </row>
    <row r="7">
      <c r="A7" s="9"/>
      <c r="B7" s="9"/>
      <c r="C7" s="6"/>
      <c r="D7" s="6"/>
      <c r="E7" s="6"/>
      <c r="F7" s="9"/>
    </row>
    <row r="8">
      <c r="A8" s="9"/>
      <c r="B8" s="9"/>
      <c r="C8" s="6"/>
      <c r="D8" s="6"/>
      <c r="E8" s="6"/>
      <c r="F8" s="9"/>
    </row>
    <row r="9">
      <c r="A9" s="9"/>
      <c r="B9" s="9"/>
      <c r="C9" s="6"/>
      <c r="D9" s="6"/>
      <c r="E9" s="6"/>
      <c r="F9" s="9"/>
    </row>
    <row r="10">
      <c r="A10" s="9"/>
      <c r="B10" s="9"/>
      <c r="C10" s="6"/>
      <c r="D10" s="6"/>
      <c r="E10" s="6"/>
      <c r="F10" s="9"/>
    </row>
    <row r="11">
      <c r="A11" s="9"/>
      <c r="B11" s="9"/>
      <c r="C11" s="6"/>
      <c r="D11" s="6"/>
      <c r="E11" s="6"/>
      <c r="F11" s="9"/>
    </row>
    <row r="12">
      <c r="A12" s="9"/>
      <c r="B12" s="9"/>
      <c r="C12" s="6"/>
      <c r="D12" s="6"/>
      <c r="E12" s="6"/>
      <c r="F12" s="9"/>
    </row>
    <row r="13">
      <c r="A13" s="9"/>
      <c r="B13" s="9"/>
      <c r="C13" s="6"/>
      <c r="D13" s="6"/>
      <c r="E13" s="6"/>
      <c r="F13" s="9"/>
    </row>
    <row r="14">
      <c r="A14" s="9"/>
      <c r="B14" s="9"/>
      <c r="C14" s="6"/>
      <c r="D14" s="6"/>
      <c r="E14" s="6"/>
      <c r="F14" s="9"/>
    </row>
    <row r="15">
      <c r="A15" s="9"/>
      <c r="B15" s="9"/>
      <c r="C15" s="6"/>
      <c r="D15" s="6"/>
      <c r="E15" s="6"/>
      <c r="F15" s="9"/>
    </row>
    <row r="16">
      <c r="A16" s="9"/>
      <c r="B16" s="9"/>
      <c r="C16" s="6"/>
      <c r="D16" s="6"/>
      <c r="E16" s="6"/>
      <c r="F16" s="9"/>
    </row>
    <row r="17">
      <c r="A17" s="9"/>
      <c r="B17" s="9"/>
      <c r="C17" s="6"/>
      <c r="D17" s="6"/>
      <c r="E17" s="6"/>
      <c r="F17" s="9"/>
    </row>
    <row r="18">
      <c r="A18" s="9"/>
      <c r="B18" s="9"/>
      <c r="C18" s="6"/>
      <c r="D18" s="6"/>
      <c r="E18" s="6"/>
      <c r="F18" s="9"/>
    </row>
    <row r="19">
      <c r="A19" s="9"/>
      <c r="B19" s="9"/>
      <c r="C19" s="6"/>
      <c r="D19" s="6"/>
      <c r="E19" s="6"/>
      <c r="F19" s="9"/>
    </row>
  </sheetData>
  <mergeCells count="2">
    <mergeCell ref="A1:C1"/>
    <mergeCell ref="A2:F2"/>
  </mergeCells>
  <pageMargins left="0.4" right="0.4" top="0.5" bottom="0.5" header="0.3" footer="0.3"/>
  <pageSetup paperSize="9" orientation="landscape" fitToWidth="1" fitToHeight="0"/>
</worksheet>
</file>

<file path=xl/worksheets/sheet11.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44" customWidth="1"/>
    <col min="2" max="2" width="22" customWidth="1"/>
    <col min="3" max="3" width="28" customWidth="1"/>
    <col min="4" max="4" width="18" customWidth="1"/>
    <col min="5" max="5" width="36" customWidth="1"/>
  </cols>
  <sheetData>
    <row r="1" ht="24" customHeight="1">
      <c r="A1" s="1" t="inlineStr">
        <is>
          <t>Staff-side records an inspection asks to see</t>
        </is>
      </c>
    </row>
    <row r="2" ht="32" customHeight="1">
      <c r="A2" s="8" t="inlineStr">
        <is>
          <t>Eleven records the inspection framework says inspectors examine on the staff side, with the regulation behind each. Grade yourself honestly. An inspection follows its own lines of enquiry, so this is a floor, not the whole exam.</t>
        </is>
      </c>
    </row>
    <row r="3"/>
    <row r="4" ht="30" customHeight="1">
      <c r="A4" s="4" t="inlineStr">
        <is>
          <t>Record</t>
        </is>
      </c>
      <c r="B4" s="4" t="inlineStr">
        <is>
          <t>Basis</t>
        </is>
      </c>
      <c r="C4" s="4" t="inlineStr">
        <is>
          <t>Where yours lives today</t>
        </is>
      </c>
      <c r="D4" s="4" t="inlineStr">
        <is>
          <t>Ready / Question / Gap</t>
        </is>
      </c>
      <c r="E4" s="4" t="inlineStr">
        <is>
          <t>What would make it Ready</t>
        </is>
      </c>
    </row>
    <row r="5">
      <c r="A5" s="5" t="inlineStr">
        <is>
          <t>Statement of purpose, current and reviewed</t>
        </is>
      </c>
      <c r="B5" s="13" t="inlineStr">
        <is>
          <t>Regulation 16</t>
        </is>
      </c>
      <c r="C5" s="6"/>
      <c r="D5" s="9"/>
      <c r="E5" s="6"/>
    </row>
    <row r="6">
      <c r="A6" s="5" t="inlineStr">
        <is>
          <t>Staff list with qualifications and planned qualification updates</t>
        </is>
      </c>
      <c r="B6" s="13" t="inlineStr">
        <is>
          <t>Regulation 32; Annex A Section 7</t>
        </is>
      </c>
      <c r="C6" s="6"/>
      <c r="D6" s="9"/>
      <c r="E6" s="6"/>
    </row>
    <row r="7">
      <c r="A7" s="5" t="inlineStr">
        <is>
          <t>Recruitment and vetting records for every person</t>
        </is>
      </c>
      <c r="B7" s="13" t="inlineStr">
        <is>
          <t>Regulation 32; Schedule 2</t>
        </is>
      </c>
      <c r="C7" s="6"/>
      <c r="D7" s="9"/>
      <c r="E7" s="6"/>
    </row>
    <row r="8">
      <c r="A8" s="5" t="inlineStr">
        <is>
          <t>Training records, the courses your statement of purpose requires, in date</t>
        </is>
      </c>
      <c r="B8" s="13" t="inlineStr">
        <is>
          <t>Regulation 33</t>
        </is>
      </c>
      <c r="C8" s="6"/>
      <c r="D8" s="9"/>
      <c r="E8" s="6"/>
    </row>
    <row r="9">
      <c r="A9" s="5" t="inlineStr">
        <is>
          <t>Supervision records, everyone in cycle including the manager</t>
        </is>
      </c>
      <c r="B9" s="13" t="inlineStr">
        <is>
          <t>Regulation 33(4)</t>
        </is>
      </c>
      <c r="C9" s="6"/>
      <c r="D9" s="9"/>
      <c r="E9" s="6"/>
    </row>
    <row r="10">
      <c r="A10" s="5" t="inlineStr">
        <is>
          <t>Staffing rotas, planned and as actually worked</t>
        </is>
      </c>
      <c r="B10" s="13" t="inlineStr">
        <is>
          <t>Regulation 31</t>
        </is>
      </c>
      <c r="C10" s="6"/>
      <c r="D10" s="9"/>
      <c r="E10" s="6"/>
    </row>
    <row r="11">
      <c r="A11" s="5" t="inlineStr">
        <is>
          <t>Allegations records, held securely with timescales evidenced</t>
        </is>
      </c>
      <c r="B11" s="13" t="inlineStr">
        <is>
          <t>Regulation 12; Working Together</t>
        </is>
      </c>
      <c r="C11" s="6"/>
      <c r="D11" s="9"/>
      <c r="E11" s="6"/>
    </row>
    <row r="12">
      <c r="A12" s="5" t="inlineStr">
        <is>
          <t>Reports of monthly regulation 44 visits</t>
        </is>
      </c>
      <c r="B12" s="13" t="inlineStr">
        <is>
          <t>Regulation 44</t>
        </is>
      </c>
      <c r="C12" s="6"/>
      <c r="D12" s="9"/>
      <c r="E12" s="6"/>
    </row>
    <row r="13">
      <c r="A13" s="5" t="inlineStr">
        <is>
          <t>Regulation 45 quality of care review, within six months</t>
        </is>
      </c>
      <c r="B13" s="13" t="inlineStr">
        <is>
          <t>Regulation 45</t>
        </is>
      </c>
      <c r="C13" s="6"/>
      <c r="D13" s="9"/>
      <c r="E13" s="6"/>
    </row>
    <row r="14">
      <c r="A14" s="5" t="inlineStr">
        <is>
          <t>Notifications made to Ofsted, with who else was told</t>
        </is>
      </c>
      <c r="B14" s="13" t="inlineStr">
        <is>
          <t>Regulation 40</t>
        </is>
      </c>
      <c r="C14" s="6"/>
      <c r="D14" s="9"/>
      <c r="E14" s="6"/>
    </row>
    <row r="15">
      <c r="A15" s="5" t="inlineStr">
        <is>
          <t>Location assessment, reviewed within the year</t>
        </is>
      </c>
      <c r="B15" s="13" t="inlineStr">
        <is>
          <t>Regulation 46</t>
        </is>
      </c>
      <c r="C15" s="6"/>
      <c r="D15" s="9"/>
      <c r="E15" s="6"/>
    </row>
  </sheetData>
  <mergeCells count="2">
    <mergeCell ref="A1:C1"/>
    <mergeCell ref="A2:E2"/>
  </mergeCells>
  <pageMargins left="0.4" right="0.4" top="0.5" bottom="0.5" header="0.3" footer="0.3"/>
  <pageSetup paperSize="9" orientation="landscape" fitToWidth="1" fitToHeight="0"/>
</worksheet>
</file>