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Start here" sheetId="1" r:id="rId1"/>
    <sheet name="Training matrix" sheetId="2" r:id="rId2"/>
    <sheet name="Supervision tracker" sheetId="3" r:id="rId3"/>
    <sheet name="DBS re-check log" sheetId="4" r:id="rId4"/>
    <sheet name="Diploma clocks" sheetId="5" r:id="rId5"/>
    <sheet name="Governance clocks" sheetId="6" r:id="rId6"/>
    <sheet name="Staff file checklist" sheetId="7" r:id="rId7"/>
    <sheet name="Employment gaps" sheetId="8" r:id="rId8"/>
    <sheet name="Inspection self-audit" sheetId="9" r:id="rId9"/>
  </sheets>
  <definedNames>
    <definedName name="_xlnm.Print_Titles" localSheetId="1">'Training matrix'!$4:$5</definedName>
    <definedName name="_xlnm.Print_Titles" localSheetId="2">'Supervision tracker'!$4:$4</definedName>
    <definedName name="_xlnm.Print_Titles" localSheetId="3">'DBS re-check log'!$4:$4</definedName>
    <definedName name="_xlnm.Print_Titles" localSheetId="4">'Diploma clocks'!$4:$4</definedName>
    <definedName name="_xlnm.Print_Titles" localSheetId="5">'Governance clocks'!$4:$4</definedName>
    <definedName name="_xlnm.Print_Titles" localSheetId="6">'Staff file checklist'!$4:$4</definedName>
    <definedName name="_xlnm.Print_Titles" localSheetId="7">'Employment gaps'!$4:$4</definedName>
    <definedName name="_xlnm.Print_Titles" localSheetId="8">'Inspection self-audit'!$4:$4</definedName>
  </definedNames>
  <calcPr calcId="191029" fullCalcOnLoad="1"/>
</workbook>
</file>

<file path=xl/styles.xml><?xml version="1.0" encoding="utf-8"?>
<styleSheet xmlns="http://schemas.openxmlformats.org/spreadsheetml/2006/main">
  <numFmts count="2">
    <numFmt numFmtId="164" formatCode="dd/mm/yyyy"/>
    <numFmt numFmtId="165" formatCode="&quot;£&quot;#,##0.00"/>
  </numFmts>
  <fonts count="6">
    <font>
      <sz val="11"/>
      <name val="Calibri"/>
    </font>
    <font>
      <b/>
      <sz val="16"/>
      <name val="Calibri"/>
    </font>
    <font>
      <sz val="10"/>
      <color rgb="FF6B7280"/>
      <name val="Calibri"/>
    </font>
    <font>
      <b/>
      <sz val="11"/>
      <name val="Calibri"/>
    </font>
    <font>
      <b/>
      <sz val="11"/>
      <color rgb="FFFFFFFF"/>
      <name val="Calibri"/>
    </font>
    <font>
      <sz val="11"/>
      <color rgb="FF9CA3AF"/>
      <name val="Calibri"/>
    </font>
  </fonts>
  <fills count="4">
    <fill>
      <patternFill patternType="none"/>
    </fill>
    <fill>
      <patternFill patternType="gray125"/>
    </fill>
    <fill>
      <patternFill patternType="solid">
        <fgColor rgb="FF0D5C45"/>
      </patternFill>
    </fill>
    <fill>
      <patternFill patternType="solid">
        <fgColor rgb="FFF4F7F3"/>
      </patternFill>
    </fill>
  </fills>
  <borders count="1">
    <border>
      <left/>
      <right/>
      <top/>
      <bottom/>
      <diagonal/>
    </border>
  </borders>
  <cellStyleXfs count="1">
    <xf numFmtId="0" fontId="0" fillId="0" borderId="0"/>
  </cellStyleXfs>
  <cellXfs count="10">
    <xf numFmtId="0" fontId="0" fillId="0" borderId="0"/>
    <xf numFmtId="0" fontId="1" fillId="0" borderId="0" applyFont="1"/>
    <xf numFmtId="0" fontId="2" fillId="0" borderId="0" applyFont="1"/>
    <xf numFmtId="0" fontId="3" fillId="0" borderId="0" applyFont="1"/>
    <xf numFmtId="0" fontId="4" fillId="2" borderId="0" applyFont="1" applyFill="1" applyAlignment="1">
      <alignment vertical="center" wrapText="1"/>
    </xf>
    <xf numFmtId="0" fontId="5" fillId="0" borderId="0" applyFont="1"/>
    <xf numFmtId="0" fontId="4" fillId="2" borderId="0" applyFont="1" applyFill="1" applyAlignment="1">
      <alignment horizontal="center" vertical="center" wrapText="1"/>
    </xf>
    <xf numFmtId="164" fontId="0" fillId="0" borderId="0" applyNumberFormat="1" applyFont="1" applyAlignment="1">
      <alignment horizontal="center"/>
    </xf>
    <xf numFmtId="0" fontId="0" fillId="0" borderId="0" applyFont="1" applyAlignment="1">
      <alignment horizontal="center"/>
    </xf>
    <xf numFmtId="0" fontId="0" fillId="3" borderId="0" applyFont="1" applyFill="1"/>
  </cellXfs>
  <cellStyles count="1">
    <cellStyle name="Normal" xfId="0" builtinId="0"/>
  </cellStyles>
  <dxfs count="3">
    <dxf>
      <font>
        <color rgb="FF9C0006"/>
      </font>
      <fill>
        <patternFill>
          <bgColor rgb="FFFFC7CE"/>
        </patternFill>
      </fill>
    </dxf>
    <dxf>
      <font>
        <color rgb="FF9C6500"/>
      </font>
      <fill>
        <patternFill>
          <bgColor rgb="FFFFEB9C"/>
        </patternFill>
      </fill>
    </dxf>
    <dxf>
      <font>
        <color rgb="FF006100"/>
      </font>
      <fill>
        <patternFill>
          <bgColor rgb="FFC6EFCE"/>
        </patternFill>
      </fill>
    </dxf>
  </dxf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styles" Target="styles.xml"/></Relationships>
</file>

<file path=xl/worksheets/sheet1.xml><?xml version="1.0" encoding="utf-8"?>
<worksheet xmlns="http://schemas.openxmlformats.org/spreadsheetml/2006/main">
  <sheetPr>
    <tabColor rgb="FF0D5C45"/>
    <pageSetUpPr fitToPage="1"/>
  </sheetPr>
  <sheetViews>
    <sheetView showGridLines="0" workbookViewId="0"/>
  </sheetViews>
  <sheetFormatPr defaultRowHeight="15"/>
  <cols>
    <col min="1" max="1" width="24" customWidth="1"/>
    <col min="2" max="2" width="95" customWidth="1"/>
  </cols>
  <sheetData>
    <row r="1" ht="24" customHeight="1">
      <c r="A1" s="1" t="inlineStr">
        <is>
          <t>Start here</t>
        </is>
      </c>
    </row>
    <row r="2">
      <c r="A2" s="2" t="inlineStr">
        <is>
          <t>One minute, then you know the whole pack.</t>
        </is>
      </c>
    </row>
    <row r="3"/>
    <row r="4">
      <c r="A4" s="3" t="inlineStr">
        <is>
          <t>The rule for every tab: type in the plain cells. The coloured cells work themselves out.</t>
        </is>
      </c>
    </row>
    <row r="5"/>
    <row r="6">
      <c r="A6" s="4" t="inlineStr">
        <is>
          <t>Training matrix</t>
        </is>
      </c>
      <c r="B6" t="inlineStr">
        <is>
          <t>Type each person's name, then the date they did each course under "Done on". The cell next to it fills in the expiry and turns green, amber or red on its own.</t>
        </is>
      </c>
    </row>
    <row r="7">
      <c r="A7" s="4" t="inlineStr">
        <is>
          <t>Supervision tracker</t>
        </is>
      </c>
      <c r="B7" t="inlineStr">
        <is>
          <t>Name, your cycle in days, date of the last supervision. It flags OVERDUE by itself. Put the manager on the list too.</t>
        </is>
      </c>
    </row>
    <row r="8">
      <c r="A8" s="4" t="inlineStr">
        <is>
          <t>DBS re-check log</t>
        </is>
      </c>
      <c r="B8" t="inlineStr">
        <is>
          <t>For staff on the Update Service: note each status check and it works out when the next one is due.</t>
        </is>
      </c>
    </row>
    <row r="9">
      <c r="A9" s="4" t="inlineStr">
        <is>
          <t>Diploma clocks</t>
        </is>
      </c>
      <c r="B9" t="inlineStr">
        <is>
          <t>Start date plus whether they hold the Level 3. The two-year deadline computes itself.</t>
        </is>
      </c>
    </row>
    <row r="10">
      <c r="A10" s="4" t="inlineStr">
        <is>
          <t>Governance clocks</t>
        </is>
      </c>
      <c r="B10" t="inlineStr">
        <is>
          <t>Date each document was last reviewed; next-due dates compute. The monthly visit grid lives here too.</t>
        </is>
      </c>
    </row>
    <row r="11">
      <c r="A11" s="4" t="inlineStr">
        <is>
          <t>Staff file checklist</t>
        </is>
      </c>
      <c r="B11" t="inlineStr">
        <is>
          <t>One copy of this tab per person. It is the exact list an inspector reads a file against.</t>
        </is>
      </c>
    </row>
    <row r="12">
      <c r="A12" s="4" t="inlineStr">
        <is>
          <t>Employment gaps</t>
        </is>
      </c>
      <c r="B12" t="inlineStr">
        <is>
          <t>The most common file failure. Work backwards from their current job; every gap over a month gets one written sentence.</t>
        </is>
      </c>
    </row>
    <row r="13">
      <c r="A13" s="4" t="inlineStr">
        <is>
          <t>Inspection self-audit</t>
        </is>
      </c>
      <c r="B13" t="inlineStr">
        <is>
          <t>The eleven things every inspection opens with. Grade yourself honestly.</t>
        </is>
      </c>
    </row>
    <row r="14"/>
    <row r="15">
      <c r="A15" s="5" t="inlineStr">
        <is>
          <t>Each tab has an example row you can overtype or delete.</t>
        </is>
      </c>
    </row>
    <row r="16">
      <c r="A16" s="5" t="inlineStr">
        <is>
          <t>Free from Staffbook (staffbook.co.uk). Keep it, copy it, share it with another home.</t>
        </is>
      </c>
    </row>
  </sheetData>
  <mergeCells count="2">
    <mergeCell ref="A1:B1"/>
    <mergeCell ref="A2:B2"/>
  </mergeCells>
  <pageMargins left="0.4" right="0.4" top="0.5" bottom="0.5" header="0.3" footer="0.3"/>
  <pageSetup paperSize="9" orientation="portrait" fitToWidth="1" fitToHeight="0"/>
</worksheet>
</file>

<file path=xl/worksheets/sheet2.xml><?xml version="1.0" encoding="utf-8"?>
<worksheet xmlns="http://schemas.openxmlformats.org/spreadsheetml/2006/main">
  <sheetPr>
    <tabColor rgb="FF0D5C45"/>
    <pageSetUpPr fitToPage="1"/>
  </sheetPr>
  <sheetViews>
    <sheetView showGridLines="0" workbookViewId="0">
      <pane ySplit="5" topLeftCell="A6" activePane="bottomLeft" state="frozen"/>
    </sheetView>
  </sheetViews>
  <sheetFormatPr defaultRowHeight="15"/>
  <cols>
    <col min="1" max="1" width="26" customWidth="1"/>
    <col min="2" max="2" width="12" customWidth="1"/>
    <col min="3" max="3" width="13" customWidth="1"/>
    <col min="4" max="4" width="12" customWidth="1"/>
    <col min="5" max="5" width="13" customWidth="1"/>
    <col min="6" max="6" width="12" customWidth="1"/>
    <col min="7" max="7" width="13" customWidth="1"/>
    <col min="8" max="8" width="12" customWidth="1"/>
    <col min="9" max="9" width="13" customWidth="1"/>
    <col min="10" max="10" width="12" customWidth="1"/>
    <col min="11" max="11" width="13" customWidth="1"/>
    <col min="12" max="12" width="12" customWidth="1"/>
    <col min="13" max="13" width="13" customWidth="1"/>
    <col min="14" max="14" width="12" customWidth="1"/>
    <col min="15" max="15" width="13" customWidth="1"/>
    <col min="16" max="16" width="12" customWidth="1"/>
    <col min="17" max="17" width="13" customWidth="1"/>
  </cols>
  <sheetData>
    <row r="1" ht="24" customHeight="1">
      <c r="A1" s="1" t="inlineStr">
        <is>
          <t>Training matrix</t>
        </is>
      </c>
    </row>
    <row r="2">
      <c r="A2" s="2" t="inlineStr">
        <is>
          <t>Type the name, then the date each course was done under "Done on". The Expires cell beside it fills in and colours itself: red has run out, amber is due within 30 days, green is fine. Free from Staffbook (staffbook.co.uk). Keep it, copy it, share it with another home.</t>
        </is>
      </c>
    </row>
    <row r="3"/>
    <row r="4" ht="30" customHeight="1">
      <c r="A4" s="4" t="inlineStr">
        <is>
          <t>Staff member</t>
        </is>
      </c>
      <c r="B4" s="4" t="inlineStr">
        <is>
          <t>Safeguarding Children (renews every 1 year)</t>
        </is>
      </c>
      <c r="C4" s="4"/>
      <c r="D4" s="4" t="inlineStr">
        <is>
          <t>First Aid (renews every 3 years)</t>
        </is>
      </c>
      <c r="E4" s="4"/>
      <c r="F4" s="4" t="inlineStr">
        <is>
          <t>Fire Safety (renews every 1 year)</t>
        </is>
      </c>
      <c r="G4" s="4"/>
      <c r="H4" s="4" t="inlineStr">
        <is>
          <t>Medication Administration (renews every 1 year)</t>
        </is>
      </c>
      <c r="I4" s="4"/>
      <c r="J4" s="4" t="inlineStr">
        <is>
          <t>Food Hygiene (renews every 3 years)</t>
        </is>
      </c>
      <c r="K4" s="4"/>
      <c r="L4" s="4" t="inlineStr">
        <is>
          <t>Health and Safety (renews every 1 year)</t>
        </is>
      </c>
      <c r="M4" s="4"/>
      <c r="N4" s="4" t="inlineStr">
        <is>
          <t>Physical Intervention (renews every 1 year)</t>
        </is>
      </c>
      <c r="O4" s="4"/>
      <c r="P4" s="4" t="inlineStr">
        <is>
          <t>Prevent / Online Safety (renews every 2 years)</t>
        </is>
      </c>
      <c r="Q4" s="4"/>
    </row>
    <row r="5">
      <c r="A5" s="4"/>
      <c r="B5" s="6" t="inlineStr">
        <is>
          <t>Done on</t>
        </is>
      </c>
      <c r="C5" s="6" t="inlineStr">
        <is>
          <t>Expires (auto)</t>
        </is>
      </c>
      <c r="D5" s="6" t="inlineStr">
        <is>
          <t>Done on</t>
        </is>
      </c>
      <c r="E5" s="6" t="inlineStr">
        <is>
          <t>Expires (auto)</t>
        </is>
      </c>
      <c r="F5" s="6" t="inlineStr">
        <is>
          <t>Done on</t>
        </is>
      </c>
      <c r="G5" s="6" t="inlineStr">
        <is>
          <t>Expires (auto)</t>
        </is>
      </c>
      <c r="H5" s="6" t="inlineStr">
        <is>
          <t>Done on</t>
        </is>
      </c>
      <c r="I5" s="6" t="inlineStr">
        <is>
          <t>Expires (auto)</t>
        </is>
      </c>
      <c r="J5" s="6" t="inlineStr">
        <is>
          <t>Done on</t>
        </is>
      </c>
      <c r="K5" s="6" t="inlineStr">
        <is>
          <t>Expires (auto)</t>
        </is>
      </c>
      <c r="L5" s="6" t="inlineStr">
        <is>
          <t>Done on</t>
        </is>
      </c>
      <c r="M5" s="6" t="inlineStr">
        <is>
          <t>Expires (auto)</t>
        </is>
      </c>
      <c r="N5" s="6" t="inlineStr">
        <is>
          <t>Done on</t>
        </is>
      </c>
      <c r="O5" s="6" t="inlineStr">
        <is>
          <t>Expires (auto)</t>
        </is>
      </c>
      <c r="P5" s="6" t="inlineStr">
        <is>
          <t>Done on</t>
        </is>
      </c>
      <c r="Q5" s="6" t="inlineStr">
        <is>
          <t>Expires (auto)</t>
        </is>
      </c>
    </row>
    <row r="6">
      <c r="A6" s="5" t="inlineStr">
        <is>
          <t>Example, overtype or delete me</t>
        </is>
      </c>
      <c r="B6" s="7">
        <v>45859</v>
      </c>
      <c r="C6" s="7">
        <f>IF(B6="","",EDATE(B6,12))</f>
      </c>
      <c r="D6" s="7">
        <v>45259</v>
      </c>
      <c r="E6" s="7">
        <f>IF(D6="","",EDATE(D6,36))</f>
      </c>
      <c r="F6" s="7">
        <v>45909</v>
      </c>
      <c r="G6" s="7">
        <f>IF(F6="","",EDATE(F6,12))</f>
      </c>
      <c r="I6" s="7">
        <f>IF(H6="","",EDATE(H6,12))</f>
      </c>
      <c r="K6" s="7">
        <f>IF(J6="","",EDATE(J6,36))</f>
      </c>
      <c r="M6" s="7">
        <f>IF(L6="","",EDATE(L6,12))</f>
      </c>
      <c r="O6" s="7">
        <f>IF(N6="","",EDATE(N6,12))</f>
      </c>
      <c r="Q6" s="7">
        <f>IF(P6="","",EDATE(P6,24))</f>
      </c>
    </row>
    <row r="7">
      <c r="C7" s="7">
        <f>IF(B7="","",EDATE(B7,12))</f>
      </c>
      <c r="E7" s="7">
        <f>IF(D7="","",EDATE(D7,36))</f>
      </c>
      <c r="G7" s="7">
        <f>IF(F7="","",EDATE(F7,12))</f>
      </c>
      <c r="I7" s="7">
        <f>IF(H7="","",EDATE(H7,12))</f>
      </c>
      <c r="K7" s="7">
        <f>IF(J7="","",EDATE(J7,36))</f>
      </c>
      <c r="M7" s="7">
        <f>IF(L7="","",EDATE(L7,12))</f>
      </c>
      <c r="O7" s="7">
        <f>IF(N7="","",EDATE(N7,12))</f>
      </c>
      <c r="Q7" s="7">
        <f>IF(P7="","",EDATE(P7,24))</f>
      </c>
    </row>
    <row r="8">
      <c r="C8" s="7">
        <f>IF(B8="","",EDATE(B8,12))</f>
      </c>
      <c r="E8" s="7">
        <f>IF(D8="","",EDATE(D8,36))</f>
      </c>
      <c r="G8" s="7">
        <f>IF(F8="","",EDATE(F8,12))</f>
      </c>
      <c r="I8" s="7">
        <f>IF(H8="","",EDATE(H8,12))</f>
      </c>
      <c r="K8" s="7">
        <f>IF(J8="","",EDATE(J8,36))</f>
      </c>
      <c r="M8" s="7">
        <f>IF(L8="","",EDATE(L8,12))</f>
      </c>
      <c r="O8" s="7">
        <f>IF(N8="","",EDATE(N8,12))</f>
      </c>
      <c r="Q8" s="7">
        <f>IF(P8="","",EDATE(P8,24))</f>
      </c>
    </row>
    <row r="9">
      <c r="C9" s="7">
        <f>IF(B9="","",EDATE(B9,12))</f>
      </c>
      <c r="E9" s="7">
        <f>IF(D9="","",EDATE(D9,36))</f>
      </c>
      <c r="G9" s="7">
        <f>IF(F9="","",EDATE(F9,12))</f>
      </c>
      <c r="I9" s="7">
        <f>IF(H9="","",EDATE(H9,12))</f>
      </c>
      <c r="K9" s="7">
        <f>IF(J9="","",EDATE(J9,36))</f>
      </c>
      <c r="M9" s="7">
        <f>IF(L9="","",EDATE(L9,12))</f>
      </c>
      <c r="O9" s="7">
        <f>IF(N9="","",EDATE(N9,12))</f>
      </c>
      <c r="Q9" s="7">
        <f>IF(P9="","",EDATE(P9,24))</f>
      </c>
    </row>
    <row r="10">
      <c r="C10" s="7">
        <f>IF(B10="","",EDATE(B10,12))</f>
      </c>
      <c r="E10" s="7">
        <f>IF(D10="","",EDATE(D10,36))</f>
      </c>
      <c r="G10" s="7">
        <f>IF(F10="","",EDATE(F10,12))</f>
      </c>
      <c r="I10" s="7">
        <f>IF(H10="","",EDATE(H10,12))</f>
      </c>
      <c r="K10" s="7">
        <f>IF(J10="","",EDATE(J10,36))</f>
      </c>
      <c r="M10" s="7">
        <f>IF(L10="","",EDATE(L10,12))</f>
      </c>
      <c r="O10" s="7">
        <f>IF(N10="","",EDATE(N10,12))</f>
      </c>
      <c r="Q10" s="7">
        <f>IF(P10="","",EDATE(P10,24))</f>
      </c>
    </row>
    <row r="11">
      <c r="C11" s="7">
        <f>IF(B11="","",EDATE(B11,12))</f>
      </c>
      <c r="E11" s="7">
        <f>IF(D11="","",EDATE(D11,36))</f>
      </c>
      <c r="G11" s="7">
        <f>IF(F11="","",EDATE(F11,12))</f>
      </c>
      <c r="I11" s="7">
        <f>IF(H11="","",EDATE(H11,12))</f>
      </c>
      <c r="K11" s="7">
        <f>IF(J11="","",EDATE(J11,36))</f>
      </c>
      <c r="M11" s="7">
        <f>IF(L11="","",EDATE(L11,12))</f>
      </c>
      <c r="O11" s="7">
        <f>IF(N11="","",EDATE(N11,12))</f>
      </c>
      <c r="Q11" s="7">
        <f>IF(P11="","",EDATE(P11,24))</f>
      </c>
    </row>
    <row r="12">
      <c r="C12" s="7">
        <f>IF(B12="","",EDATE(B12,12))</f>
      </c>
      <c r="E12" s="7">
        <f>IF(D12="","",EDATE(D12,36))</f>
      </c>
      <c r="G12" s="7">
        <f>IF(F12="","",EDATE(F12,12))</f>
      </c>
      <c r="I12" s="7">
        <f>IF(H12="","",EDATE(H12,12))</f>
      </c>
      <c r="K12" s="7">
        <f>IF(J12="","",EDATE(J12,36))</f>
      </c>
      <c r="M12" s="7">
        <f>IF(L12="","",EDATE(L12,12))</f>
      </c>
      <c r="O12" s="7">
        <f>IF(N12="","",EDATE(N12,12))</f>
      </c>
      <c r="Q12" s="7">
        <f>IF(P12="","",EDATE(P12,24))</f>
      </c>
    </row>
    <row r="13">
      <c r="C13" s="7">
        <f>IF(B13="","",EDATE(B13,12))</f>
      </c>
      <c r="E13" s="7">
        <f>IF(D13="","",EDATE(D13,36))</f>
      </c>
      <c r="G13" s="7">
        <f>IF(F13="","",EDATE(F13,12))</f>
      </c>
      <c r="I13" s="7">
        <f>IF(H13="","",EDATE(H13,12))</f>
      </c>
      <c r="K13" s="7">
        <f>IF(J13="","",EDATE(J13,36))</f>
      </c>
      <c r="M13" s="7">
        <f>IF(L13="","",EDATE(L13,12))</f>
      </c>
      <c r="O13" s="7">
        <f>IF(N13="","",EDATE(N13,12))</f>
      </c>
      <c r="Q13" s="7">
        <f>IF(P13="","",EDATE(P13,24))</f>
      </c>
    </row>
    <row r="14">
      <c r="C14" s="7">
        <f>IF(B14="","",EDATE(B14,12))</f>
      </c>
      <c r="E14" s="7">
        <f>IF(D14="","",EDATE(D14,36))</f>
      </c>
      <c r="G14" s="7">
        <f>IF(F14="","",EDATE(F14,12))</f>
      </c>
      <c r="I14" s="7">
        <f>IF(H14="","",EDATE(H14,12))</f>
      </c>
      <c r="K14" s="7">
        <f>IF(J14="","",EDATE(J14,36))</f>
      </c>
      <c r="M14" s="7">
        <f>IF(L14="","",EDATE(L14,12))</f>
      </c>
      <c r="O14" s="7">
        <f>IF(N14="","",EDATE(N14,12))</f>
      </c>
      <c r="Q14" s="7">
        <f>IF(P14="","",EDATE(P14,24))</f>
      </c>
    </row>
    <row r="15">
      <c r="C15" s="7">
        <f>IF(B15="","",EDATE(B15,12))</f>
      </c>
      <c r="E15" s="7">
        <f>IF(D15="","",EDATE(D15,36))</f>
      </c>
      <c r="G15" s="7">
        <f>IF(F15="","",EDATE(F15,12))</f>
      </c>
      <c r="I15" s="7">
        <f>IF(H15="","",EDATE(H15,12))</f>
      </c>
      <c r="K15" s="7">
        <f>IF(J15="","",EDATE(J15,36))</f>
      </c>
      <c r="M15" s="7">
        <f>IF(L15="","",EDATE(L15,12))</f>
      </c>
      <c r="O15" s="7">
        <f>IF(N15="","",EDATE(N15,12))</f>
      </c>
      <c r="Q15" s="7">
        <f>IF(P15="","",EDATE(P15,24))</f>
      </c>
    </row>
    <row r="16">
      <c r="C16" s="7">
        <f>IF(B16="","",EDATE(B16,12))</f>
      </c>
      <c r="E16" s="7">
        <f>IF(D16="","",EDATE(D16,36))</f>
      </c>
      <c r="G16" s="7">
        <f>IF(F16="","",EDATE(F16,12))</f>
      </c>
      <c r="I16" s="7">
        <f>IF(H16="","",EDATE(H16,12))</f>
      </c>
      <c r="K16" s="7">
        <f>IF(J16="","",EDATE(J16,36))</f>
      </c>
      <c r="M16" s="7">
        <f>IF(L16="","",EDATE(L16,12))</f>
      </c>
      <c r="O16" s="7">
        <f>IF(N16="","",EDATE(N16,12))</f>
      </c>
      <c r="Q16" s="7">
        <f>IF(P16="","",EDATE(P16,24))</f>
      </c>
    </row>
    <row r="17">
      <c r="C17" s="7">
        <f>IF(B17="","",EDATE(B17,12))</f>
      </c>
      <c r="E17" s="7">
        <f>IF(D17="","",EDATE(D17,36))</f>
      </c>
      <c r="G17" s="7">
        <f>IF(F17="","",EDATE(F17,12))</f>
      </c>
      <c r="I17" s="7">
        <f>IF(H17="","",EDATE(H17,12))</f>
      </c>
      <c r="K17" s="7">
        <f>IF(J17="","",EDATE(J17,36))</f>
      </c>
      <c r="M17" s="7">
        <f>IF(L17="","",EDATE(L17,12))</f>
      </c>
      <c r="O17" s="7">
        <f>IF(N17="","",EDATE(N17,12))</f>
      </c>
      <c r="Q17" s="7">
        <f>IF(P17="","",EDATE(P17,24))</f>
      </c>
    </row>
    <row r="18">
      <c r="C18" s="7">
        <f>IF(B18="","",EDATE(B18,12))</f>
      </c>
      <c r="E18" s="7">
        <f>IF(D18="","",EDATE(D18,36))</f>
      </c>
      <c r="G18" s="7">
        <f>IF(F18="","",EDATE(F18,12))</f>
      </c>
      <c r="I18" s="7">
        <f>IF(H18="","",EDATE(H18,12))</f>
      </c>
      <c r="K18" s="7">
        <f>IF(J18="","",EDATE(J18,36))</f>
      </c>
      <c r="M18" s="7">
        <f>IF(L18="","",EDATE(L18,12))</f>
      </c>
      <c r="O18" s="7">
        <f>IF(N18="","",EDATE(N18,12))</f>
      </c>
      <c r="Q18" s="7">
        <f>IF(P18="","",EDATE(P18,24))</f>
      </c>
    </row>
    <row r="19">
      <c r="C19" s="7">
        <f>IF(B19="","",EDATE(B19,12))</f>
      </c>
      <c r="E19" s="7">
        <f>IF(D19="","",EDATE(D19,36))</f>
      </c>
      <c r="G19" s="7">
        <f>IF(F19="","",EDATE(F19,12))</f>
      </c>
      <c r="I19" s="7">
        <f>IF(H19="","",EDATE(H19,12))</f>
      </c>
      <c r="K19" s="7">
        <f>IF(J19="","",EDATE(J19,36))</f>
      </c>
      <c r="M19" s="7">
        <f>IF(L19="","",EDATE(L19,12))</f>
      </c>
      <c r="O19" s="7">
        <f>IF(N19="","",EDATE(N19,12))</f>
      </c>
      <c r="Q19" s="7">
        <f>IF(P19="","",EDATE(P19,24))</f>
      </c>
    </row>
    <row r="20">
      <c r="C20" s="7">
        <f>IF(B20="","",EDATE(B20,12))</f>
      </c>
      <c r="E20" s="7">
        <f>IF(D20="","",EDATE(D20,36))</f>
      </c>
      <c r="G20" s="7">
        <f>IF(F20="","",EDATE(F20,12))</f>
      </c>
      <c r="I20" s="7">
        <f>IF(H20="","",EDATE(H20,12))</f>
      </c>
      <c r="K20" s="7">
        <f>IF(J20="","",EDATE(J20,36))</f>
      </c>
      <c r="M20" s="7">
        <f>IF(L20="","",EDATE(L20,12))</f>
      </c>
      <c r="O20" s="7">
        <f>IF(N20="","",EDATE(N20,12))</f>
      </c>
      <c r="Q20" s="7">
        <f>IF(P20="","",EDATE(P20,24))</f>
      </c>
    </row>
    <row r="21">
      <c r="C21" s="7">
        <f>IF(B21="","",EDATE(B21,12))</f>
      </c>
      <c r="E21" s="7">
        <f>IF(D21="","",EDATE(D21,36))</f>
      </c>
      <c r="G21" s="7">
        <f>IF(F21="","",EDATE(F21,12))</f>
      </c>
      <c r="I21" s="7">
        <f>IF(H21="","",EDATE(H21,12))</f>
      </c>
      <c r="K21" s="7">
        <f>IF(J21="","",EDATE(J21,36))</f>
      </c>
      <c r="M21" s="7">
        <f>IF(L21="","",EDATE(L21,12))</f>
      </c>
      <c r="O21" s="7">
        <f>IF(N21="","",EDATE(N21,12))</f>
      </c>
      <c r="Q21" s="7">
        <f>IF(P21="","",EDATE(P21,24))</f>
      </c>
    </row>
    <row r="22">
      <c r="C22" s="7">
        <f>IF(B22="","",EDATE(B22,12))</f>
      </c>
      <c r="E22" s="7">
        <f>IF(D22="","",EDATE(D22,36))</f>
      </c>
      <c r="G22" s="7">
        <f>IF(F22="","",EDATE(F22,12))</f>
      </c>
      <c r="I22" s="7">
        <f>IF(H22="","",EDATE(H22,12))</f>
      </c>
      <c r="K22" s="7">
        <f>IF(J22="","",EDATE(J22,36))</f>
      </c>
      <c r="M22" s="7">
        <f>IF(L22="","",EDATE(L22,12))</f>
      </c>
      <c r="O22" s="7">
        <f>IF(N22="","",EDATE(N22,12))</f>
      </c>
      <c r="Q22" s="7">
        <f>IF(P22="","",EDATE(P22,24))</f>
      </c>
    </row>
    <row r="23">
      <c r="C23" s="7">
        <f>IF(B23="","",EDATE(B23,12))</f>
      </c>
      <c r="E23" s="7">
        <f>IF(D23="","",EDATE(D23,36))</f>
      </c>
      <c r="G23" s="7">
        <f>IF(F23="","",EDATE(F23,12))</f>
      </c>
      <c r="I23" s="7">
        <f>IF(H23="","",EDATE(H23,12))</f>
      </c>
      <c r="K23" s="7">
        <f>IF(J23="","",EDATE(J23,36))</f>
      </c>
      <c r="M23" s="7">
        <f>IF(L23="","",EDATE(L23,12))</f>
      </c>
      <c r="O23" s="7">
        <f>IF(N23="","",EDATE(N23,12))</f>
      </c>
      <c r="Q23" s="7">
        <f>IF(P23="","",EDATE(P23,24))</f>
      </c>
    </row>
    <row r="24">
      <c r="C24" s="7">
        <f>IF(B24="","",EDATE(B24,12))</f>
      </c>
      <c r="E24" s="7">
        <f>IF(D24="","",EDATE(D24,36))</f>
      </c>
      <c r="G24" s="7">
        <f>IF(F24="","",EDATE(F24,12))</f>
      </c>
      <c r="I24" s="7">
        <f>IF(H24="","",EDATE(H24,12))</f>
      </c>
      <c r="K24" s="7">
        <f>IF(J24="","",EDATE(J24,36))</f>
      </c>
      <c r="M24" s="7">
        <f>IF(L24="","",EDATE(L24,12))</f>
      </c>
      <c r="O24" s="7">
        <f>IF(N24="","",EDATE(N24,12))</f>
      </c>
      <c r="Q24" s="7">
        <f>IF(P24="","",EDATE(P24,24))</f>
      </c>
    </row>
    <row r="25">
      <c r="C25" s="7">
        <f>IF(B25="","",EDATE(B25,12))</f>
      </c>
      <c r="E25" s="7">
        <f>IF(D25="","",EDATE(D25,36))</f>
      </c>
      <c r="G25" s="7">
        <f>IF(F25="","",EDATE(F25,12))</f>
      </c>
      <c r="I25" s="7">
        <f>IF(H25="","",EDATE(H25,12))</f>
      </c>
      <c r="K25" s="7">
        <f>IF(J25="","",EDATE(J25,36))</f>
      </c>
      <c r="M25" s="7">
        <f>IF(L25="","",EDATE(L25,12))</f>
      </c>
      <c r="O25" s="7">
        <f>IF(N25="","",EDATE(N25,12))</f>
      </c>
      <c r="Q25" s="7">
        <f>IF(P25="","",EDATE(P25,24))</f>
      </c>
    </row>
    <row r="26">
      <c r="C26" s="7">
        <f>IF(B26="","",EDATE(B26,12))</f>
      </c>
      <c r="E26" s="7">
        <f>IF(D26="","",EDATE(D26,36))</f>
      </c>
      <c r="G26" s="7">
        <f>IF(F26="","",EDATE(F26,12))</f>
      </c>
      <c r="I26" s="7">
        <f>IF(H26="","",EDATE(H26,12))</f>
      </c>
      <c r="K26" s="7">
        <f>IF(J26="","",EDATE(J26,36))</f>
      </c>
      <c r="M26" s="7">
        <f>IF(L26="","",EDATE(L26,12))</f>
      </c>
      <c r="O26" s="7">
        <f>IF(N26="","",EDATE(N26,12))</f>
      </c>
      <c r="Q26" s="7">
        <f>IF(P26="","",EDATE(P26,24))</f>
      </c>
    </row>
  </sheetData>
  <mergeCells count="10">
    <mergeCell ref="A1:E1"/>
    <mergeCell ref="A2:K2"/>
    <mergeCell ref="B4:C4"/>
    <mergeCell ref="D4:E4"/>
    <mergeCell ref="F4:G4"/>
    <mergeCell ref="H4:I4"/>
    <mergeCell ref="J4:K4"/>
    <mergeCell ref="L4:M4"/>
    <mergeCell ref="N4:O4"/>
    <mergeCell ref="P4:Q4"/>
  </mergeCells>
  <conditionalFormatting sqref="C6:C26">
    <cfRule type="expression" dxfId="0" priority="1">
      <formula>AND(C6&lt;&gt;"",C6&lt;TODAY())</formula>
    </cfRule>
    <cfRule type="expression" dxfId="1" priority="2">
      <formula>AND(C6&lt;&gt;"",C6&lt;TODAY()+30)</formula>
    </cfRule>
    <cfRule type="expression" dxfId="2" priority="3">
      <formula>AND(C6&lt;&gt;"",C6&gt;=TODAY()+30)</formula>
    </cfRule>
  </conditionalFormatting>
  <conditionalFormatting sqref="E6:E26">
    <cfRule type="expression" dxfId="0" priority="4">
      <formula>AND(E6&lt;&gt;"",E6&lt;TODAY())</formula>
    </cfRule>
    <cfRule type="expression" dxfId="1" priority="5">
      <formula>AND(E6&lt;&gt;"",E6&lt;TODAY()+30)</formula>
    </cfRule>
    <cfRule type="expression" dxfId="2" priority="6">
      <formula>AND(E6&lt;&gt;"",E6&gt;=TODAY()+30)</formula>
    </cfRule>
  </conditionalFormatting>
  <conditionalFormatting sqref="G6:G26">
    <cfRule type="expression" dxfId="0" priority="7">
      <formula>AND(G6&lt;&gt;"",G6&lt;TODAY())</formula>
    </cfRule>
    <cfRule type="expression" dxfId="1" priority="8">
      <formula>AND(G6&lt;&gt;"",G6&lt;TODAY()+30)</formula>
    </cfRule>
    <cfRule type="expression" dxfId="2" priority="9">
      <formula>AND(G6&lt;&gt;"",G6&gt;=TODAY()+30)</formula>
    </cfRule>
  </conditionalFormatting>
  <conditionalFormatting sqref="I6:I26">
    <cfRule type="expression" dxfId="0" priority="10">
      <formula>AND(I6&lt;&gt;"",I6&lt;TODAY())</formula>
    </cfRule>
    <cfRule type="expression" dxfId="1" priority="11">
      <formula>AND(I6&lt;&gt;"",I6&lt;TODAY()+30)</formula>
    </cfRule>
    <cfRule type="expression" dxfId="2" priority="12">
      <formula>AND(I6&lt;&gt;"",I6&gt;=TODAY()+30)</formula>
    </cfRule>
  </conditionalFormatting>
  <conditionalFormatting sqref="K6:K26">
    <cfRule type="expression" dxfId="0" priority="13">
      <formula>AND(K6&lt;&gt;"",K6&lt;TODAY())</formula>
    </cfRule>
    <cfRule type="expression" dxfId="1" priority="14">
      <formula>AND(K6&lt;&gt;"",K6&lt;TODAY()+30)</formula>
    </cfRule>
    <cfRule type="expression" dxfId="2" priority="15">
      <formula>AND(K6&lt;&gt;"",K6&gt;=TODAY()+30)</formula>
    </cfRule>
  </conditionalFormatting>
  <conditionalFormatting sqref="M6:M26">
    <cfRule type="expression" dxfId="0" priority="16">
      <formula>AND(M6&lt;&gt;"",M6&lt;TODAY())</formula>
    </cfRule>
    <cfRule type="expression" dxfId="1" priority="17">
      <formula>AND(M6&lt;&gt;"",M6&lt;TODAY()+30)</formula>
    </cfRule>
    <cfRule type="expression" dxfId="2" priority="18">
      <formula>AND(M6&lt;&gt;"",M6&gt;=TODAY()+30)</formula>
    </cfRule>
  </conditionalFormatting>
  <conditionalFormatting sqref="O6:O26">
    <cfRule type="expression" dxfId="0" priority="19">
      <formula>AND(O6&lt;&gt;"",O6&lt;TODAY())</formula>
    </cfRule>
    <cfRule type="expression" dxfId="1" priority="20">
      <formula>AND(O6&lt;&gt;"",O6&lt;TODAY()+30)</formula>
    </cfRule>
    <cfRule type="expression" dxfId="2" priority="21">
      <formula>AND(O6&lt;&gt;"",O6&gt;=TODAY()+30)</formula>
    </cfRule>
  </conditionalFormatting>
  <conditionalFormatting sqref="Q6:Q26">
    <cfRule type="expression" dxfId="0" priority="22">
      <formula>AND(Q6&lt;&gt;"",Q6&lt;TODAY())</formula>
    </cfRule>
    <cfRule type="expression" dxfId="1" priority="23">
      <formula>AND(Q6&lt;&gt;"",Q6&lt;TODAY()+30)</formula>
    </cfRule>
    <cfRule type="expression" dxfId="2" priority="24">
      <formula>AND(Q6&lt;&gt;"",Q6&gt;=TODAY()+30)</formula>
    </cfRule>
  </conditionalFormatting>
  <pageMargins left="0.4" right="0.4" top="0.5" bottom="0.5" header="0.3" footer="0.3"/>
  <pageSetup paperSize="9" orientation="landscape" fitToWidth="1" fitToHeight="0"/>
</worksheet>
</file>

<file path=xl/worksheets/sheet3.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26" customWidth="1"/>
    <col min="2" max="2" width="12" customWidth="1"/>
    <col min="3" max="3" width="16" customWidth="1"/>
    <col min="4" max="4" width="12" customWidth="1"/>
    <col min="5" max="5" width="12" customWidth="1"/>
  </cols>
  <sheetData>
    <row r="1" ht="24" customHeight="1">
      <c r="A1" s="1" t="inlineStr">
        <is>
          <t>Supervision tracker</t>
        </is>
      </c>
    </row>
    <row r="2">
      <c r="A2" s="2" t="inlineStr">
        <is>
          <t>Name, your cycle in days (28 is common), and the date of the last supervision. The rest computes itself. The manager goes on this list too: theirs is the record inspectors ask for first.</t>
        </is>
      </c>
    </row>
    <row r="3"/>
    <row r="4" ht="30" customHeight="1">
      <c r="A4" s="4" t="inlineStr">
        <is>
          <t>Staff member</t>
        </is>
      </c>
      <c r="B4" s="4" t="inlineStr">
        <is>
          <t>Cycle (days)</t>
        </is>
      </c>
      <c r="C4" s="4" t="inlineStr">
        <is>
          <t>Last supervision</t>
        </is>
      </c>
      <c r="D4" s="4" t="inlineStr">
        <is>
          <t>Days since</t>
        </is>
      </c>
      <c r="E4" s="4" t="inlineStr">
        <is>
          <t>Standing</t>
        </is>
      </c>
    </row>
    <row r="5">
      <c r="A5" s="5" t="inlineStr">
        <is>
          <t>Example: change or delete this row</t>
        </is>
      </c>
      <c r="B5" s="8">
        <v>28</v>
      </c>
      <c r="C5" s="7">
        <v>46219</v>
      </c>
      <c r="D5" s="8">
        <f>IF(C5="","",TODAY()-C5)</f>
      </c>
      <c r="E5" s="8">
        <f>IF(C5="","",IF(TODAY()-C5&gt;B5,"OVERDUE",IF(TODAY()-C5&gt;B5-7,"DUE","OK")))</f>
      </c>
    </row>
    <row r="6">
      <c r="B6" s="8">
        <v>28</v>
      </c>
      <c r="D6" s="8">
        <f>IF(C6="","",TODAY()-C6)</f>
      </c>
      <c r="E6" s="8">
        <f>IF(C6="","",IF(TODAY()-C6&gt;B6,"OVERDUE",IF(TODAY()-C6&gt;B6-7,"DUE","OK")))</f>
      </c>
    </row>
    <row r="7">
      <c r="B7" s="8">
        <v>28</v>
      </c>
      <c r="D7" s="8">
        <f>IF(C7="","",TODAY()-C7)</f>
      </c>
      <c r="E7" s="8">
        <f>IF(C7="","",IF(TODAY()-C7&gt;B7,"OVERDUE",IF(TODAY()-C7&gt;B7-7,"DUE","OK")))</f>
      </c>
    </row>
    <row r="8">
      <c r="B8" s="8">
        <v>28</v>
      </c>
      <c r="D8" s="8">
        <f>IF(C8="","",TODAY()-C8)</f>
      </c>
      <c r="E8" s="8">
        <f>IF(C8="","",IF(TODAY()-C8&gt;B8,"OVERDUE",IF(TODAY()-C8&gt;B8-7,"DUE","OK")))</f>
      </c>
    </row>
    <row r="9">
      <c r="B9" s="8">
        <v>28</v>
      </c>
      <c r="D9" s="8">
        <f>IF(C9="","",TODAY()-C9)</f>
      </c>
      <c r="E9" s="8">
        <f>IF(C9="","",IF(TODAY()-C9&gt;B9,"OVERDUE",IF(TODAY()-C9&gt;B9-7,"DUE","OK")))</f>
      </c>
    </row>
    <row r="10">
      <c r="B10" s="8">
        <v>28</v>
      </c>
      <c r="D10" s="8">
        <f>IF(C10="","",TODAY()-C10)</f>
      </c>
      <c r="E10" s="8">
        <f>IF(C10="","",IF(TODAY()-C10&gt;B10,"OVERDUE",IF(TODAY()-C10&gt;B10-7,"DUE","OK")))</f>
      </c>
    </row>
    <row r="11">
      <c r="B11" s="8">
        <v>28</v>
      </c>
      <c r="D11" s="8">
        <f>IF(C11="","",TODAY()-C11)</f>
      </c>
      <c r="E11" s="8">
        <f>IF(C11="","",IF(TODAY()-C11&gt;B11,"OVERDUE",IF(TODAY()-C11&gt;B11-7,"DUE","OK")))</f>
      </c>
    </row>
    <row r="12">
      <c r="B12" s="8">
        <v>28</v>
      </c>
      <c r="D12" s="8">
        <f>IF(C12="","",TODAY()-C12)</f>
      </c>
      <c r="E12" s="8">
        <f>IF(C12="","",IF(TODAY()-C12&gt;B12,"OVERDUE",IF(TODAY()-C12&gt;B12-7,"DUE","OK")))</f>
      </c>
    </row>
    <row r="13">
      <c r="B13" s="8">
        <v>28</v>
      </c>
      <c r="D13" s="8">
        <f>IF(C13="","",TODAY()-C13)</f>
      </c>
      <c r="E13" s="8">
        <f>IF(C13="","",IF(TODAY()-C13&gt;B13,"OVERDUE",IF(TODAY()-C13&gt;B13-7,"DUE","OK")))</f>
      </c>
    </row>
    <row r="14">
      <c r="B14" s="8">
        <v>28</v>
      </c>
      <c r="D14" s="8">
        <f>IF(C14="","",TODAY()-C14)</f>
      </c>
      <c r="E14" s="8">
        <f>IF(C14="","",IF(TODAY()-C14&gt;B14,"OVERDUE",IF(TODAY()-C14&gt;B14-7,"DUE","OK")))</f>
      </c>
    </row>
    <row r="15">
      <c r="B15" s="8">
        <v>28</v>
      </c>
      <c r="D15" s="8">
        <f>IF(C15="","",TODAY()-C15)</f>
      </c>
      <c r="E15" s="8">
        <f>IF(C15="","",IF(TODAY()-C15&gt;B15,"OVERDUE",IF(TODAY()-C15&gt;B15-7,"DUE","OK")))</f>
      </c>
    </row>
    <row r="16">
      <c r="B16" s="8">
        <v>28</v>
      </c>
      <c r="D16" s="8">
        <f>IF(C16="","",TODAY()-C16)</f>
      </c>
      <c r="E16" s="8">
        <f>IF(C16="","",IF(TODAY()-C16&gt;B16,"OVERDUE",IF(TODAY()-C16&gt;B16-7,"DUE","OK")))</f>
      </c>
    </row>
    <row r="17">
      <c r="B17" s="8">
        <v>28</v>
      </c>
      <c r="D17" s="8">
        <f>IF(C17="","",TODAY()-C17)</f>
      </c>
      <c r="E17" s="8">
        <f>IF(C17="","",IF(TODAY()-C17&gt;B17,"OVERDUE",IF(TODAY()-C17&gt;B17-7,"DUE","OK")))</f>
      </c>
    </row>
    <row r="18">
      <c r="B18" s="8">
        <v>28</v>
      </c>
      <c r="D18" s="8">
        <f>IF(C18="","",TODAY()-C18)</f>
      </c>
      <c r="E18" s="8">
        <f>IF(C18="","",IF(TODAY()-C18&gt;B18,"OVERDUE",IF(TODAY()-C18&gt;B18-7,"DUE","OK")))</f>
      </c>
    </row>
    <row r="19">
      <c r="B19" s="8">
        <v>28</v>
      </c>
      <c r="D19" s="8">
        <f>IF(C19="","",TODAY()-C19)</f>
      </c>
      <c r="E19" s="8">
        <f>IF(C19="","",IF(TODAY()-C19&gt;B19,"OVERDUE",IF(TODAY()-C19&gt;B19-7,"DUE","OK")))</f>
      </c>
    </row>
    <row r="20">
      <c r="B20" s="8">
        <v>28</v>
      </c>
      <c r="D20" s="8">
        <f>IF(C20="","",TODAY()-C20)</f>
      </c>
      <c r="E20" s="8">
        <f>IF(C20="","",IF(TODAY()-C20&gt;B20,"OVERDUE",IF(TODAY()-C20&gt;B20-7,"DUE","OK")))</f>
      </c>
    </row>
    <row r="21">
      <c r="B21" s="8">
        <v>28</v>
      </c>
      <c r="D21" s="8">
        <f>IF(C21="","",TODAY()-C21)</f>
      </c>
      <c r="E21" s="8">
        <f>IF(C21="","",IF(TODAY()-C21&gt;B21,"OVERDUE",IF(TODAY()-C21&gt;B21-7,"DUE","OK")))</f>
      </c>
    </row>
    <row r="22">
      <c r="B22" s="8">
        <v>28</v>
      </c>
      <c r="D22" s="8">
        <f>IF(C22="","",TODAY()-C22)</f>
      </c>
      <c r="E22" s="8">
        <f>IF(C22="","",IF(TODAY()-C22&gt;B22,"OVERDUE",IF(TODAY()-C22&gt;B22-7,"DUE","OK")))</f>
      </c>
    </row>
    <row r="23">
      <c r="B23" s="8">
        <v>28</v>
      </c>
      <c r="D23" s="8">
        <f>IF(C23="","",TODAY()-C23)</f>
      </c>
      <c r="E23" s="8">
        <f>IF(C23="","",IF(TODAY()-C23&gt;B23,"OVERDUE",IF(TODAY()-C23&gt;B23-7,"DUE","OK")))</f>
      </c>
    </row>
    <row r="24">
      <c r="B24" s="8">
        <v>28</v>
      </c>
      <c r="D24" s="8">
        <f>IF(C24="","",TODAY()-C24)</f>
      </c>
      <c r="E24" s="8">
        <f>IF(C24="","",IF(TODAY()-C24&gt;B24,"OVERDUE",IF(TODAY()-C24&gt;B24-7,"DUE","OK")))</f>
      </c>
    </row>
    <row r="25">
      <c r="B25" s="8">
        <v>28</v>
      </c>
      <c r="D25" s="8">
        <f>IF(C25="","",TODAY()-C25)</f>
      </c>
      <c r="E25" s="8">
        <f>IF(C25="","",IF(TODAY()-C25&gt;B25,"OVERDUE",IF(TODAY()-C25&gt;B25-7,"DUE","OK")))</f>
      </c>
    </row>
  </sheetData>
  <mergeCells count="2">
    <mergeCell ref="A1:C1"/>
    <mergeCell ref="A2:E2"/>
  </mergeCells>
  <conditionalFormatting sqref="E5:E25">
    <cfRule type="expression" dxfId="0" priority="1">
      <formula>E5="OVERDUE"</formula>
    </cfRule>
    <cfRule type="expression" dxfId="1" priority="2">
      <formula>E5="DUE"</formula>
    </cfRule>
    <cfRule type="expression" dxfId="2" priority="3">
      <formula>E5="OK"</formula>
    </cfRule>
  </conditionalFormatting>
  <pageMargins left="0.4" right="0.4" top="0.5" bottom="0.5" header="0.3" footer="0.3"/>
  <pageSetup paperSize="9" orientation="portrait" fitToWidth="1" fitToHeight="0"/>
</worksheet>
</file>

<file path=xl/worksheets/sheet4.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26" customWidth="1"/>
    <col min="2" max="2" width="18" customWidth="1"/>
    <col min="3" max="3" width="20" customWidth="1"/>
    <col min="4" max="4" width="16" customWidth="1"/>
    <col min="5" max="5" width="15" customWidth="1"/>
    <col min="6" max="6" width="24" customWidth="1"/>
  </cols>
  <sheetData>
    <row r="1" ht="24" customHeight="1">
      <c r="A1" s="1" t="inlineStr">
        <is>
          <t>DBS re-check log</t>
        </is>
      </c>
    </row>
    <row r="2">
      <c r="A2" s="2" t="inlineStr">
        <is>
          <t>For staff on the Update Service: run the status check twice a year (one minute each, with consent) and note the date. Next due computes itself. "When did you last check?" is a real inspection question.</t>
        </is>
      </c>
    </row>
    <row r="3"/>
    <row r="4" ht="30" customHeight="1">
      <c r="A4" s="4" t="inlineStr">
        <is>
          <t>Staff member</t>
        </is>
      </c>
      <c r="B4" s="4" t="inlineStr">
        <is>
          <t>Certificate number</t>
        </is>
      </c>
      <c r="C4" s="4" t="inlineStr">
        <is>
          <t>On the Update Service?</t>
        </is>
      </c>
      <c r="D4" s="4" t="inlineStr">
        <is>
          <t>Last status check</t>
        </is>
      </c>
      <c r="E4" s="4" t="inlineStr">
        <is>
          <t>Next check due</t>
        </is>
      </c>
      <c r="F4" s="4" t="inlineStr">
        <is>
          <t>Notes</t>
        </is>
      </c>
    </row>
    <row r="5">
      <c r="A5" s="5" t="inlineStr">
        <is>
          <t>Example: change or delete this row</t>
        </is>
      </c>
      <c r="B5" t="inlineStr">
        <is>
          <t>001234567890</t>
        </is>
      </c>
      <c r="C5" s="8" t="inlineStr">
        <is>
          <t>Yes</t>
        </is>
      </c>
      <c r="D5" s="7">
        <v>46059</v>
      </c>
      <c r="E5" s="7">
        <f>IF(D5="","",EDATE(D5,6))</f>
      </c>
      <c r="F5" t="inlineStr">
        <is>
          <t>No change</t>
        </is>
      </c>
    </row>
    <row r="6">
      <c r="E6" s="7">
        <f>IF(D6="","",EDATE(D6,6))</f>
      </c>
    </row>
    <row r="7">
      <c r="E7" s="7">
        <f>IF(D7="","",EDATE(D7,6))</f>
      </c>
    </row>
    <row r="8">
      <c r="E8" s="7">
        <f>IF(D8="","",EDATE(D8,6))</f>
      </c>
    </row>
    <row r="9">
      <c r="E9" s="7">
        <f>IF(D9="","",EDATE(D9,6))</f>
      </c>
    </row>
    <row r="10">
      <c r="E10" s="7">
        <f>IF(D10="","",EDATE(D10,6))</f>
      </c>
    </row>
    <row r="11">
      <c r="E11" s="7">
        <f>IF(D11="","",EDATE(D11,6))</f>
      </c>
    </row>
    <row r="12">
      <c r="E12" s="7">
        <f>IF(D12="","",EDATE(D12,6))</f>
      </c>
    </row>
    <row r="13">
      <c r="E13" s="7">
        <f>IF(D13="","",EDATE(D13,6))</f>
      </c>
    </row>
    <row r="14">
      <c r="E14" s="7">
        <f>IF(D14="","",EDATE(D14,6))</f>
      </c>
    </row>
    <row r="15">
      <c r="E15" s="7">
        <f>IF(D15="","",EDATE(D15,6))</f>
      </c>
    </row>
    <row r="16">
      <c r="E16" s="7">
        <f>IF(D16="","",EDATE(D16,6))</f>
      </c>
    </row>
    <row r="17">
      <c r="E17" s="7">
        <f>IF(D17="","",EDATE(D17,6))</f>
      </c>
    </row>
    <row r="18">
      <c r="E18" s="7">
        <f>IF(D18="","",EDATE(D18,6))</f>
      </c>
    </row>
    <row r="19">
      <c r="E19" s="7">
        <f>IF(D19="","",EDATE(D19,6))</f>
      </c>
    </row>
    <row r="20">
      <c r="E20" s="7">
        <f>IF(D20="","",EDATE(D20,6))</f>
      </c>
    </row>
    <row r="21">
      <c r="E21" s="7">
        <f>IF(D21="","",EDATE(D21,6))</f>
      </c>
    </row>
    <row r="22">
      <c r="E22" s="7">
        <f>IF(D22="","",EDATE(D22,6))</f>
      </c>
    </row>
    <row r="23">
      <c r="E23" s="7">
        <f>IF(D23="","",EDATE(D23,6))</f>
      </c>
    </row>
    <row r="24">
      <c r="E24" s="7">
        <f>IF(D24="","",EDATE(D24,6))</f>
      </c>
    </row>
    <row r="25">
      <c r="E25" s="7">
        <f>IF(D25="","",EDATE(D25,6))</f>
      </c>
    </row>
  </sheetData>
  <mergeCells count="2">
    <mergeCell ref="A1:C1"/>
    <mergeCell ref="A2:F2"/>
  </mergeCells>
  <conditionalFormatting sqref="E5:E25">
    <cfRule type="expression" dxfId="0" priority="1">
      <formula>AND(E5&lt;&gt;"",E5&lt;TODAY())</formula>
    </cfRule>
    <cfRule type="expression" dxfId="1" priority="2">
      <formula>AND(E5&lt;&gt;"",E5&lt;TODAY()+30)</formula>
    </cfRule>
    <cfRule type="expression" dxfId="2" priority="3">
      <formula>AND(E5&lt;&gt;"",E5&gt;=TODAY()+30)</formula>
    </cfRule>
  </conditionalFormatting>
  <pageMargins left="0.4" right="0.4" top="0.5" bottom="0.5" header="0.3" footer="0.3"/>
  <pageSetup paperSize="9" orientation="portrait" fitToWidth="1" fitToHeight="0"/>
</worksheet>
</file>

<file path=xl/worksheets/sheet5.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26" customWidth="1"/>
    <col min="2" max="2" width="14" customWidth="1"/>
    <col min="3" max="3" width="22" customWidth="1"/>
    <col min="4" max="4" width="15" customWidth="1"/>
  </cols>
  <sheetData>
    <row r="1" ht="24" customHeight="1">
      <c r="A1" s="1" t="inlineStr">
        <is>
          <t>Diploma clocks</t>
        </is>
      </c>
    </row>
    <row r="2">
      <c r="A2" s="2" t="inlineStr">
        <is>
          <t>Care staff must gain the Level 3 Diploma within two years of starting. Type their start date and whether they hold it; the deadline computes itself and goes red when it passes.</t>
        </is>
      </c>
    </row>
    <row r="3"/>
    <row r="4" ht="30" customHeight="1">
      <c r="A4" s="4" t="inlineStr">
        <is>
          <t>Staff member</t>
        </is>
      </c>
      <c r="B4" s="4" t="inlineStr">
        <is>
          <t>Start date</t>
        </is>
      </c>
      <c r="C4" s="4" t="inlineStr">
        <is>
          <t>Holds Level 3? (Yes/No)</t>
        </is>
      </c>
      <c r="D4" s="4" t="inlineStr">
        <is>
          <t>Level 3 due by</t>
        </is>
      </c>
    </row>
    <row r="5">
      <c r="A5" s="5" t="inlineStr">
        <is>
          <t>Example: change or delete this row</t>
        </is>
      </c>
      <c r="B5" s="7">
        <v>45759</v>
      </c>
      <c r="C5" s="8" t="inlineStr">
        <is>
          <t>No</t>
        </is>
      </c>
      <c r="D5" s="7">
        <f>IF(OR(B5="",C5="Yes"),"",EDATE(B5,24))</f>
      </c>
    </row>
    <row r="6">
      <c r="C6" s="8"/>
      <c r="D6" s="7">
        <f>IF(OR(B6="",C6="Yes"),"",EDATE(B6,24))</f>
      </c>
    </row>
    <row r="7">
      <c r="C7" s="8"/>
      <c r="D7" s="7">
        <f>IF(OR(B7="",C7="Yes"),"",EDATE(B7,24))</f>
      </c>
    </row>
    <row r="8">
      <c r="C8" s="8"/>
      <c r="D8" s="7">
        <f>IF(OR(B8="",C8="Yes"),"",EDATE(B8,24))</f>
      </c>
    </row>
    <row r="9">
      <c r="C9" s="8"/>
      <c r="D9" s="7">
        <f>IF(OR(B9="",C9="Yes"),"",EDATE(B9,24))</f>
      </c>
    </row>
    <row r="10">
      <c r="C10" s="8"/>
      <c r="D10" s="7">
        <f>IF(OR(B10="",C10="Yes"),"",EDATE(B10,24))</f>
      </c>
    </row>
    <row r="11">
      <c r="C11" s="8"/>
      <c r="D11" s="7">
        <f>IF(OR(B11="",C11="Yes"),"",EDATE(B11,24))</f>
      </c>
    </row>
    <row r="12">
      <c r="C12" s="8"/>
      <c r="D12" s="7">
        <f>IF(OR(B12="",C12="Yes"),"",EDATE(B12,24))</f>
      </c>
    </row>
    <row r="13">
      <c r="C13" s="8"/>
      <c r="D13" s="7">
        <f>IF(OR(B13="",C13="Yes"),"",EDATE(B13,24))</f>
      </c>
    </row>
    <row r="14">
      <c r="C14" s="8"/>
      <c r="D14" s="7">
        <f>IF(OR(B14="",C14="Yes"),"",EDATE(B14,24))</f>
      </c>
    </row>
    <row r="15">
      <c r="C15" s="8"/>
      <c r="D15" s="7">
        <f>IF(OR(B15="",C15="Yes"),"",EDATE(B15,24))</f>
      </c>
    </row>
    <row r="16">
      <c r="C16" s="8"/>
      <c r="D16" s="7">
        <f>IF(OR(B16="",C16="Yes"),"",EDATE(B16,24))</f>
      </c>
    </row>
    <row r="17">
      <c r="C17" s="8"/>
      <c r="D17" s="7">
        <f>IF(OR(B17="",C17="Yes"),"",EDATE(B17,24))</f>
      </c>
    </row>
    <row r="18">
      <c r="C18" s="8"/>
      <c r="D18" s="7">
        <f>IF(OR(B18="",C18="Yes"),"",EDATE(B18,24))</f>
      </c>
    </row>
    <row r="19">
      <c r="C19" s="8"/>
      <c r="D19" s="7">
        <f>IF(OR(B19="",C19="Yes"),"",EDATE(B19,24))</f>
      </c>
    </row>
    <row r="20">
      <c r="C20" s="8"/>
      <c r="D20" s="7">
        <f>IF(OR(B20="",C20="Yes"),"",EDATE(B20,24))</f>
      </c>
    </row>
    <row r="21">
      <c r="C21" s="8"/>
      <c r="D21" s="7">
        <f>IF(OR(B21="",C21="Yes"),"",EDATE(B21,24))</f>
      </c>
    </row>
    <row r="22">
      <c r="C22" s="8"/>
      <c r="D22" s="7">
        <f>IF(OR(B22="",C22="Yes"),"",EDATE(B22,24))</f>
      </c>
    </row>
    <row r="23">
      <c r="C23" s="8"/>
      <c r="D23" s="7">
        <f>IF(OR(B23="",C23="Yes"),"",EDATE(B23,24))</f>
      </c>
    </row>
    <row r="24">
      <c r="C24" s="8"/>
      <c r="D24" s="7">
        <f>IF(OR(B24="",C24="Yes"),"",EDATE(B24,24))</f>
      </c>
    </row>
    <row r="25">
      <c r="C25" s="8"/>
      <c r="D25" s="7">
        <f>IF(OR(B25="",C25="Yes"),"",EDATE(B25,24))</f>
      </c>
    </row>
  </sheetData>
  <mergeCells count="2">
    <mergeCell ref="A1:C1"/>
    <mergeCell ref="A2:D2"/>
  </mergeCells>
  <conditionalFormatting sqref="D5:D25">
    <cfRule type="expression" dxfId="0" priority="1">
      <formula>AND(D5&lt;&gt;"",D5&lt;TODAY())</formula>
    </cfRule>
    <cfRule type="expression" dxfId="1" priority="2">
      <formula>AND(D5&lt;&gt;"",D5&lt;TODAY()+90)</formula>
    </cfRule>
    <cfRule type="expression" dxfId="2" priority="3">
      <formula>AND(D5&lt;&gt;"",D5&gt;=TODAY()+90)</formula>
    </cfRule>
  </conditionalFormatting>
  <pageMargins left="0.4" right="0.4" top="0.5" bottom="0.5" header="0.3" footer="0.3"/>
  <pageSetup paperSize="9" orientation="portrait" fitToWidth="1" fitToHeight="0"/>
</worksheet>
</file>

<file path=xl/worksheets/sheet6.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30" customWidth="1"/>
    <col min="2" max="2" width="14" customWidth="1"/>
    <col min="3" max="3" width="20" customWidth="1"/>
    <col min="4" max="4" width="14" customWidth="1"/>
  </cols>
  <sheetData>
    <row r="1" ht="24" customHeight="1">
      <c r="A1" s="1" t="inlineStr">
        <is>
          <t>Governance clocks</t>
        </is>
      </c>
    </row>
    <row r="2">
      <c r="A2" s="2" t="inlineStr">
        <is>
          <t>The documents every home must keep under review. Type the date each was last reviewed; the next-due date computes itself. Below: the two visit clocks inspectors always check.</t>
        </is>
      </c>
    </row>
    <row r="3"/>
    <row r="4" ht="30" customHeight="1">
      <c r="A4" s="4" t="inlineStr">
        <is>
          <t>Document</t>
        </is>
      </c>
      <c r="B4" s="4" t="inlineStr">
        <is>
          <t>Last reviewed</t>
        </is>
      </c>
      <c r="C4" s="4" t="inlineStr">
        <is>
          <t>Review every (months)</t>
        </is>
      </c>
      <c r="D4" s="4" t="inlineStr">
        <is>
          <t>Next due</t>
        </is>
      </c>
    </row>
    <row r="5">
      <c r="A5" t="inlineStr">
        <is>
          <t>Statement of purpose</t>
        </is>
      </c>
      <c r="C5" s="8">
        <v>12</v>
      </c>
      <c r="D5" s="7">
        <f>IF(B5="","",EDATE(B5,C5))</f>
      </c>
    </row>
    <row r="6">
      <c r="A6" t="inlineStr">
        <is>
          <t>Location risk assessment</t>
        </is>
      </c>
      <c r="C6" s="8">
        <v>12</v>
      </c>
      <c r="D6" s="7">
        <f>IF(B6="","",EDATE(B6,C6))</f>
      </c>
    </row>
    <row r="7">
      <c r="A7" t="inlineStr">
        <is>
          <t>Safeguarding policy</t>
        </is>
      </c>
      <c r="C7" s="8">
        <v>12</v>
      </c>
      <c r="D7" s="7">
        <f>IF(B7="","",EDATE(B7,C7))</f>
      </c>
    </row>
    <row r="8">
      <c r="A8" t="inlineStr">
        <is>
          <t>Behaviour support policy</t>
        </is>
      </c>
      <c r="C8" s="8">
        <v>12</v>
      </c>
      <c r="D8" s="7">
        <f>IF(B8="","",EDATE(B8,C8))</f>
      </c>
    </row>
    <row r="9">
      <c r="A9" t="inlineStr">
        <is>
          <t>Missing child policy</t>
        </is>
      </c>
      <c r="C9" s="8">
        <v>12</v>
      </c>
      <c r="D9" s="7">
        <f>IF(B9="","",EDATE(B9,C9))</f>
      </c>
    </row>
    <row r="10">
      <c r="A10" t="inlineStr">
        <is>
          <t>Complaints policy</t>
        </is>
      </c>
      <c r="C10" s="8">
        <v>12</v>
      </c>
      <c r="D10" s="7">
        <f>IF(B10="","",EDATE(B10,C10))</f>
      </c>
    </row>
    <row r="11">
      <c r="A11" t="inlineStr">
        <is>
          <t>Lone working assessment</t>
        </is>
      </c>
      <c r="C11" s="8">
        <v>12</v>
      </c>
      <c r="D11" s="7">
        <f>IF(B11="","",EDATE(B11,C11))</f>
      </c>
    </row>
    <row r="12">
      <c r="A12" t="inlineStr">
        <is>
          <t>Workforce plan</t>
        </is>
      </c>
      <c r="C12" s="8">
        <v>12</v>
      </c>
      <c r="D12" s="7">
        <f>IF(B12="","",EDATE(B12,C12))</f>
      </c>
    </row>
    <row r="13"/>
    <row r="14">
      <c r="A14" s="3" t="inlineStr">
        <is>
          <t>The two visit clocks</t>
        </is>
      </c>
    </row>
    <row r="15">
      <c r="A15" s="4" t="inlineStr">
        <is>
          <t>Month</t>
        </is>
      </c>
      <c r="B15" s="4" t="inlineStr">
        <is>
          <t>Reg 44 visit date</t>
        </is>
      </c>
      <c r="C15" s="4" t="inlineStr">
        <is>
          <t>Report received</t>
        </is>
      </c>
      <c r="D15" s="4" t="inlineStr">
        <is>
          <t>Actions all closed?</t>
        </is>
      </c>
    </row>
    <row r="16">
      <c r="A16" t="inlineStr">
        <is>
          <t>January</t>
        </is>
      </c>
    </row>
    <row r="17">
      <c r="A17" t="inlineStr">
        <is>
          <t>February</t>
        </is>
      </c>
    </row>
    <row r="18">
      <c r="A18" t="inlineStr">
        <is>
          <t>March</t>
        </is>
      </c>
    </row>
    <row r="19">
      <c r="A19" t="inlineStr">
        <is>
          <t>April</t>
        </is>
      </c>
    </row>
    <row r="20">
      <c r="A20" t="inlineStr">
        <is>
          <t>May</t>
        </is>
      </c>
    </row>
    <row r="21">
      <c r="A21" t="inlineStr">
        <is>
          <t>June</t>
        </is>
      </c>
    </row>
    <row r="22">
      <c r="A22" t="inlineStr">
        <is>
          <t>July</t>
        </is>
      </c>
    </row>
    <row r="23">
      <c r="A23" t="inlineStr">
        <is>
          <t>August</t>
        </is>
      </c>
    </row>
    <row r="24">
      <c r="A24" t="inlineStr">
        <is>
          <t>September</t>
        </is>
      </c>
    </row>
    <row r="25">
      <c r="A25" t="inlineStr">
        <is>
          <t>October</t>
        </is>
      </c>
    </row>
    <row r="26">
      <c r="A26" t="inlineStr">
        <is>
          <t>November</t>
        </is>
      </c>
    </row>
    <row r="27">
      <c r="A27" t="inlineStr">
        <is>
          <t>December</t>
        </is>
      </c>
    </row>
    <row r="28"/>
    <row r="29">
      <c r="A29" s="5" t="inlineStr">
        <is>
          <t>Reg 45 quality of care review: due every six months, sent to Ofsted within 28 days of completing it.</t>
        </is>
      </c>
    </row>
  </sheetData>
  <mergeCells count="2">
    <mergeCell ref="A1:C1"/>
    <mergeCell ref="A2:D2"/>
  </mergeCells>
  <conditionalFormatting sqref="D5:D12">
    <cfRule type="expression" dxfId="0" priority="1">
      <formula>AND(D5&lt;&gt;"",D5&lt;TODAY())</formula>
    </cfRule>
    <cfRule type="expression" dxfId="1" priority="2">
      <formula>AND(D5&lt;&gt;"",D5&lt;TODAY()+60)</formula>
    </cfRule>
    <cfRule type="expression" dxfId="2" priority="3">
      <formula>AND(D5&lt;&gt;"",D5&gt;=TODAY()+60)</formula>
    </cfRule>
  </conditionalFormatting>
  <pageMargins left="0.4" right="0.4" top="0.5" bottom="0.5" header="0.3" footer="0.3"/>
  <pageSetup paperSize="9" orientation="portrait" fitToWidth="1" fitToHeight="0"/>
</worksheet>
</file>

<file path=xl/worksheets/sheet7.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42" customWidth="1"/>
    <col min="2" max="2" width="48" customWidth="1"/>
    <col min="3" max="3" width="12" customWidth="1"/>
    <col min="4" max="4" width="13" customWidth="1"/>
    <col min="5" max="5" width="26" customWidth="1"/>
  </cols>
  <sheetData>
    <row r="1" ht="24" customHeight="1">
      <c r="A1" s="1" t="inlineStr">
        <is>
          <t>The staff file, Schedule 2</t>
        </is>
      </c>
    </row>
    <row r="2">
      <c r="A2" s="2" t="inlineStr">
        <is>
          <t>One sheet per person: duplicate this tab and name it after them. An inspector reads a file against exactly this list.</t>
        </is>
      </c>
    </row>
    <row r="3"/>
    <row r="4" ht="30" customHeight="1">
      <c r="A4" s="4" t="inlineStr">
        <is>
          <t>What the file must hold</t>
        </is>
      </c>
      <c r="B4" s="4" t="inlineStr">
        <is>
          <t>What satisfies it</t>
        </is>
      </c>
      <c r="C4" s="4" t="inlineStr">
        <is>
          <t>In the file?</t>
        </is>
      </c>
      <c r="D4" s="4" t="inlineStr">
        <is>
          <t>Date checked</t>
        </is>
      </c>
      <c r="E4" s="4" t="inlineStr">
        <is>
          <t>Notes</t>
        </is>
      </c>
    </row>
    <row r="5">
      <c r="A5" t="inlineStr">
        <is>
          <t>Proof of identity, with a recent photograph</t>
        </is>
      </c>
      <c r="B5" t="inlineStr">
        <is>
          <t>Passport or licence plus a dated photo, copies in the file</t>
        </is>
      </c>
    </row>
    <row r="6">
      <c r="A6" s="9" t="inlineStr">
        <is>
          <t>Enhanced DBS with children's barred list check</t>
        </is>
      </c>
      <c r="B6" s="9" t="inlineStr">
        <is>
          <t>Certificate number and date recorded; never the disclosure content</t>
        </is>
      </c>
      <c r="C6" s="9"/>
      <c r="D6" s="9"/>
      <c r="E6" s="9"/>
    </row>
    <row r="7">
      <c r="A7" t="inlineStr">
        <is>
          <t>Two written references, one from the most recent employer</t>
        </is>
      </c>
      <c r="B7" t="inlineStr">
        <is>
          <t>On file, checked by phone, with a note of the call</t>
        </is>
      </c>
    </row>
    <row r="8">
      <c r="A8" s="9" t="inlineStr">
        <is>
          <t>Why previous work with children or vulnerable adults ended</t>
        </is>
      </c>
      <c r="B8" s="9" t="inlineStr">
        <is>
          <t>Checked as far as practicable, in writing</t>
        </is>
      </c>
      <c r="C8" s="9"/>
      <c r="D8" s="9"/>
      <c r="E8" s="9"/>
    </row>
    <row r="9">
      <c r="A9" t="inlineStr">
        <is>
          <t>Documentary evidence of qualifications</t>
        </is>
      </c>
      <c r="B9" t="inlineStr">
        <is>
          <t>The certificates themselves, not a CV line</t>
        </is>
      </c>
    </row>
    <row r="10">
      <c r="A10" s="9" t="inlineStr">
        <is>
          <t>Full employment history with every gap explained in writing</t>
        </is>
      </c>
      <c r="B10" s="9" t="inlineStr">
        <is>
          <t>Use the Employment gaps tab; anything over a month needs a sentence</t>
        </is>
      </c>
      <c r="C10" s="9"/>
      <c r="D10" s="9"/>
      <c r="E10" s="9"/>
    </row>
    <row r="11">
      <c r="A11" t="inlineStr">
        <is>
          <t>Right to work in the UK</t>
        </is>
      </c>
      <c r="B11" t="inlineStr">
        <is>
          <t>Evidence checked and copied before day one</t>
        </is>
      </c>
    </row>
    <row r="12">
      <c r="A12" s="9" t="inlineStr">
        <is>
          <t>Health: fit for the role</t>
        </is>
      </c>
      <c r="B12" s="9" t="inlineStr">
        <is>
          <t>Assessment date recorded; the assessment itself stays with occupational health</t>
        </is>
      </c>
      <c r="C12" s="9"/>
      <c r="D12" s="9"/>
      <c r="E12" s="9"/>
    </row>
    <row r="13">
      <c r="A13" t="inlineStr">
        <is>
          <t>Interview record</t>
        </is>
      </c>
      <c r="B13" t="inlineStr">
        <is>
          <t>Who interviewed, when, and the judgment reached</t>
        </is>
      </c>
    </row>
    <row r="14">
      <c r="A14" s="9" t="inlineStr">
        <is>
          <t>DBS Update Service status, if subscribed</t>
        </is>
      </c>
      <c r="B14" s="9" t="inlineStr">
        <is>
          <t>Consent noted and the date of the last status check</t>
        </is>
      </c>
      <c r="C14" s="9"/>
      <c r="D14" s="9"/>
      <c r="E14" s="9"/>
    </row>
  </sheetData>
  <mergeCells count="2">
    <mergeCell ref="A1:C1"/>
    <mergeCell ref="A2:E2"/>
  </mergeCells>
  <pageMargins left="0.4" right="0.4" top="0.5" bottom="0.5" header="0.3" footer="0.3"/>
  <pageSetup paperSize="9" orientation="landscape" fitToWidth="1" fitToHeight="0"/>
</worksheet>
</file>

<file path=xl/worksheets/sheet8.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16" customWidth="1"/>
    <col min="2" max="2" width="16" customWidth="1"/>
    <col min="3" max="3" width="36" customWidth="1"/>
    <col min="4" max="4" width="24" customWidth="1"/>
    <col min="5" max="5" width="26" customWidth="1"/>
    <col min="6" max="6" width="10" customWidth="1"/>
  </cols>
  <sheetData>
    <row r="1" ht="24" customHeight="1">
      <c r="A1" s="1" t="inlineStr">
        <is>
          <t>Employment history, gaps explained</t>
        </is>
      </c>
    </row>
    <row r="2">
      <c r="A2" s="2" t="inlineStr">
        <is>
          <t>Work backwards from their current job. The most common file failure is a gap with no written explanation. "Travelling" written down is a pass. Silence is a finding.</t>
        </is>
      </c>
    </row>
    <row r="3"/>
    <row r="4" ht="30" customHeight="1">
      <c r="A4" s="4" t="inlineStr">
        <is>
          <t>From (month/year)</t>
        </is>
      </c>
      <c r="B4" s="4" t="inlineStr">
        <is>
          <t>To (month/year)</t>
        </is>
      </c>
      <c r="C4" s="4" t="inlineStr">
        <is>
          <t>Employer, course, or what the gap was</t>
        </is>
      </c>
      <c r="D4" s="4" t="inlineStr">
        <is>
          <t>Role</t>
        </is>
      </c>
      <c r="E4" s="4" t="inlineStr">
        <is>
          <t>Reason for leaving</t>
        </is>
      </c>
      <c r="F4" s="4" t="inlineStr">
        <is>
          <t>Checked?</t>
        </is>
      </c>
    </row>
    <row r="5"/>
    <row r="6">
      <c r="A6" s="9"/>
      <c r="B6" s="9"/>
      <c r="C6" s="9"/>
      <c r="D6" s="9"/>
      <c r="E6" s="9"/>
      <c r="F6" s="9"/>
    </row>
    <row r="7"/>
    <row r="8">
      <c r="A8" s="9"/>
      <c r="B8" s="9"/>
      <c r="C8" s="9"/>
      <c r="D8" s="9"/>
      <c r="E8" s="9"/>
      <c r="F8" s="9"/>
    </row>
    <row r="9"/>
    <row r="10">
      <c r="A10" s="9"/>
      <c r="B10" s="9"/>
      <c r="C10" s="9"/>
      <c r="D10" s="9"/>
      <c r="E10" s="9"/>
      <c r="F10" s="9"/>
    </row>
    <row r="11"/>
    <row r="12">
      <c r="A12" s="9"/>
      <c r="B12" s="9"/>
      <c r="C12" s="9"/>
      <c r="D12" s="9"/>
      <c r="E12" s="9"/>
      <c r="F12" s="9"/>
    </row>
    <row r="13"/>
    <row r="14">
      <c r="A14" s="9"/>
      <c r="B14" s="9"/>
      <c r="C14" s="9"/>
      <c r="D14" s="9"/>
      <c r="E14" s="9"/>
      <c r="F14" s="9"/>
    </row>
    <row r="15"/>
    <row r="16">
      <c r="A16" s="9"/>
      <c r="B16" s="9"/>
      <c r="C16" s="9"/>
      <c r="D16" s="9"/>
      <c r="E16" s="9"/>
      <c r="F16" s="9"/>
    </row>
    <row r="17"/>
    <row r="18">
      <c r="A18" s="9"/>
      <c r="B18" s="9"/>
      <c r="C18" s="9"/>
      <c r="D18" s="9"/>
      <c r="E18" s="9"/>
      <c r="F18" s="9"/>
    </row>
    <row r="19"/>
  </sheetData>
  <mergeCells count="2">
    <mergeCell ref="A1:C1"/>
    <mergeCell ref="A2:F2"/>
  </mergeCells>
  <pageMargins left="0.4" right="0.4" top="0.5" bottom="0.5" header="0.3" footer="0.3"/>
  <pageSetup paperSize="9" orientation="landscape" fitToWidth="1" fitToHeight="0"/>
</worksheet>
</file>

<file path=xl/worksheets/sheet9.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46" customWidth="1"/>
    <col min="2" max="2" width="30" customWidth="1"/>
    <col min="3" max="3" width="20" customWidth="1"/>
    <col min="4" max="4" width="40" customWidth="1"/>
  </cols>
  <sheetData>
    <row r="1" ht="24" customHeight="1">
      <c r="A1" s="1" t="inlineStr">
        <is>
          <t>The inspector's opening list</t>
        </is>
      </c>
    </row>
    <row r="2">
      <c r="A2" s="2" t="inlineStr">
        <is>
          <t>The eleven staff-side things every full inspection asks for. Grade yourself honestly before Ofsted does it for you.</t>
        </is>
      </c>
    </row>
    <row r="3"/>
    <row r="4" ht="30" customHeight="1">
      <c r="A4" s="4" t="inlineStr">
        <is>
          <t>The inspector asks for</t>
        </is>
      </c>
      <c r="B4" s="4" t="inlineStr">
        <is>
          <t>Where yours lives today</t>
        </is>
      </c>
      <c r="C4" s="4" t="inlineStr">
        <is>
          <t>Ready / Question / Gap</t>
        </is>
      </c>
      <c r="D4" s="4" t="inlineStr">
        <is>
          <t>What would make it Ready</t>
        </is>
      </c>
    </row>
    <row r="5">
      <c r="A5" t="inlineStr">
        <is>
          <t>Statement of purpose, current and reviewed</t>
        </is>
      </c>
    </row>
    <row r="6">
      <c r="A6" s="9" t="inlineStr">
        <is>
          <t>Staff list with qualifications and planned qualification updates</t>
        </is>
      </c>
      <c r="B6" s="9"/>
      <c r="C6" s="9"/>
      <c r="D6" s="9"/>
    </row>
    <row r="7">
      <c r="A7" t="inlineStr">
        <is>
          <t>Recruitment and vetting records, complete for every person</t>
        </is>
      </c>
    </row>
    <row r="8">
      <c r="A8" s="9" t="inlineStr">
        <is>
          <t>Training records, mandatory courses in date</t>
        </is>
      </c>
      <c r="B8" s="9"/>
      <c r="C8" s="9"/>
      <c r="D8" s="9"/>
    </row>
    <row r="9">
      <c r="A9" t="inlineStr">
        <is>
          <t>Supervision records, everyone in cycle including the manager</t>
        </is>
      </c>
    </row>
    <row r="10">
      <c r="A10" s="9" t="inlineStr">
        <is>
          <t>Staffing rotas, planned and as actually worked</t>
        </is>
      </c>
      <c r="B10" s="9"/>
      <c r="C10" s="9"/>
      <c r="D10" s="9"/>
    </row>
    <row r="11">
      <c r="A11" t="inlineStr">
        <is>
          <t>Allegations records, held securely with timescales evidenced</t>
        </is>
      </c>
    </row>
    <row r="12">
      <c r="A12" s="9" t="inlineStr">
        <is>
          <t>Reports of monthly regulation 44 visits</t>
        </is>
      </c>
      <c r="B12" s="9"/>
      <c r="C12" s="9"/>
      <c r="D12" s="9"/>
    </row>
    <row r="13">
      <c r="A13" t="inlineStr">
        <is>
          <t>Regulation 45 quality of care report, within six months</t>
        </is>
      </c>
    </row>
    <row r="14">
      <c r="A14" s="9" t="inlineStr">
        <is>
          <t>Notifications made to Ofsted, with who else was told</t>
        </is>
      </c>
      <c r="B14" s="9"/>
      <c r="C14" s="9"/>
      <c r="D14" s="9"/>
    </row>
    <row r="15">
      <c r="A15" t="inlineStr">
        <is>
          <t>Location assessment, reviewed within the year</t>
        </is>
      </c>
    </row>
    <row r="16"/>
    <row r="17">
      <c r="A17" s="5" t="inlineStr">
        <is>
          <t>Free from Staffbook (staffbook.co.uk). Keep it, copy it, share it with another home.</t>
        </is>
      </c>
    </row>
  </sheetData>
  <mergeCells count="2">
    <mergeCell ref="A1:C1"/>
    <mergeCell ref="A2:D2"/>
  </mergeCells>
  <pageMargins left="0.4" right="0.4" top="0.5" bottom="0.5" header="0.3" footer="0.3"/>
  <pageSetup paperSize="9" orientation="landscape" fitToWidth="1" fitToHeight="0"/>
</worksheet>
</file>