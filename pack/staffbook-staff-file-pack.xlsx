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tart here" sheetId="1" r:id="rId1"/>
    <sheet name="Annex A staffing" sheetId="2" r:id="rId2"/>
    <sheet name="Staff list" sheetId="3" r:id="rId3"/>
    <sheet name="Agency shifts" sheetId="4" r:id="rId4"/>
    <sheet name="Training matrix" sheetId="5" r:id="rId5"/>
    <sheet name="Supervision tracker" sheetId="6" r:id="rId6"/>
    <sheet name="DBS re-check log" sheetId="7" r:id="rId7"/>
    <sheet name="Governance clocks" sheetId="8" r:id="rId8"/>
    <sheet name="Staff file checklist" sheetId="9" r:id="rId9"/>
    <sheet name="Employment gaps" sheetId="10" r:id="rId10"/>
    <sheet name="Inspection self-audit" sheetId="11" r:id="rId11"/>
  </sheets>
  <definedNames>
    <definedName name="_xlnm.Print_Titles" localSheetId="1">'Annex A staffing'!$12:$12</definedName>
    <definedName name="_xlnm.Print_Titles" localSheetId="2">'Staff list'!$4:$4</definedName>
    <definedName name="_xlnm.Print_Titles" localSheetId="3">'Agency shifts'!$4:$4</definedName>
    <definedName name="_xlnm.Print_Titles" localSheetId="4">'Training matrix'!$4:$5</definedName>
    <definedName name="_xlnm.Print_Titles" localSheetId="5">'Supervision tracker'!$4:$4</definedName>
    <definedName name="_xlnm.Print_Titles" localSheetId="6">'DBS re-check log'!$4:$4</definedName>
    <definedName name="_xlnm.Print_Titles" localSheetId="7">'Governance clocks'!$4:$4</definedName>
    <definedName name="_xlnm.Print_Titles" localSheetId="8">'Staff file checklist'!$4:$4</definedName>
    <definedName name="_xlnm.Print_Titles" localSheetId="9">'Employment gaps'!$4:$4</definedName>
    <definedName name="_xlnm.Print_Titles" localSheetId="10">'Inspection self-audit'!$4:$4</definedName>
  </definedNames>
  <calcPr calcId="191029" fullCalcOnLoad="1"/>
</workbook>
</file>

<file path=xl/styles.xml><?xml version="1.0" encoding="utf-8"?>
<styleSheet xmlns="http://schemas.openxmlformats.org/spreadsheetml/2006/main">
  <numFmts count="2">
    <numFmt numFmtId="164" formatCode="dd/mm/yyyy"/>
    <numFmt numFmtId="165" formatCode="&quot;£&quot;#,##0.00"/>
  </numFmts>
  <fonts count="6">
    <font>
      <sz val="11"/>
      <name val="Calibri"/>
    </font>
    <font>
      <b/>
      <sz val="16"/>
      <name val="Calibri"/>
    </font>
    <font>
      <sz val="10"/>
      <color rgb="FF6B7280"/>
      <name val="Calibri"/>
    </font>
    <font>
      <b/>
      <sz val="11"/>
      <name val="Calibri"/>
    </font>
    <font>
      <b/>
      <sz val="11"/>
      <color rgb="FFFFFFFF"/>
      <name val="Calibri"/>
    </font>
    <font>
      <sz val="11"/>
      <color rgb="FF9CA3AF"/>
      <name val="Calibri"/>
    </font>
  </fonts>
  <fills count="4">
    <fill>
      <patternFill patternType="none"/>
    </fill>
    <fill>
      <patternFill patternType="gray125"/>
    </fill>
    <fill>
      <patternFill patternType="solid">
        <fgColor rgb="FF0D5C45"/>
      </patternFill>
    </fill>
    <fill>
      <patternFill patternType="solid">
        <fgColor rgb="FFEFF4EE"/>
      </patternFill>
    </fill>
  </fills>
  <borders count="2">
    <border>
      <left/>
      <right/>
      <top/>
      <bottom/>
      <diagonal/>
    </border>
    <border>
      <left style="thin">
        <color rgb="FFD5D2C4"/>
      </left>
      <right style="thin">
        <color rgb="FFD5D2C4"/>
      </right>
      <top style="thin">
        <color rgb="FFD5D2C4"/>
      </top>
      <bottom style="thin">
        <color rgb="FFD5D2C4"/>
      </bottom>
      <diagonal/>
    </border>
  </borders>
  <cellStyleXfs count="1">
    <xf numFmtId="0" fontId="0" fillId="0" borderId="0"/>
  </cellStyleXfs>
  <cellXfs count="13">
    <xf numFmtId="0" fontId="0" fillId="0" borderId="0"/>
    <xf numFmtId="0" fontId="1" fillId="0" borderId="0" applyFont="1"/>
    <xf numFmtId="0" fontId="2" fillId="0" borderId="0" applyFont="1"/>
    <xf numFmtId="0" fontId="3" fillId="0" borderId="0" applyFont="1"/>
    <xf numFmtId="0" fontId="4" fillId="2" borderId="1" applyFont="1" applyFill="1" applyBorder="1" applyAlignment="1">
      <alignment vertical="center" wrapText="1"/>
    </xf>
    <xf numFmtId="0" fontId="0" fillId="0" borderId="1" applyFont="1" applyBorder="1"/>
    <xf numFmtId="0" fontId="5" fillId="0" borderId="0" applyFont="1"/>
    <xf numFmtId="0" fontId="0" fillId="0" borderId="1" applyFont="1" applyBorder="1" applyAlignment="1">
      <alignment horizontal="center"/>
    </xf>
    <xf numFmtId="0" fontId="5" fillId="0" borderId="1" applyFont="1" applyBorder="1"/>
    <xf numFmtId="0" fontId="0" fillId="3" borderId="1" applyFont="1" applyFill="1" applyBorder="1" applyAlignment="1">
      <alignment horizontal="center"/>
    </xf>
    <xf numFmtId="164" fontId="0" fillId="3" borderId="1" applyNumberFormat="1" applyFont="1" applyFill="1" applyBorder="1" applyAlignment="1">
      <alignment horizontal="center"/>
    </xf>
    <xf numFmtId="164" fontId="0" fillId="0" borderId="1" applyNumberFormat="1" applyFont="1" applyBorder="1" applyAlignment="1">
      <alignment horizontal="center"/>
    </xf>
    <xf numFmtId="0" fontId="4" fillId="2" borderId="1" applyFont="1" applyFill="1" applyBorder="1" applyAlignment="1">
      <alignment horizontal="center" vertical="center" wrapText="1"/>
    </xf>
  </cellXfs>
  <cellStyles count="1">
    <cellStyle name="Normal" xfId="0" builtinId="0"/>
  </cellStyles>
  <dxfs count="3">
    <dxf>
      <font>
        <color rgb="FF9C0006"/>
      </font>
      <fill>
        <patternFill>
          <bgColor rgb="FFFFC7CE"/>
        </patternFill>
      </fill>
    </dxf>
    <dxf>
      <font>
        <color rgb="FF9C6500"/>
      </font>
      <fill>
        <patternFill>
          <bgColor rgb="FFFFEB9C"/>
        </patternFill>
      </fill>
    </dxf>
    <dxf>
      <font>
        <color rgb="FF006100"/>
      </font>
      <fill>
        <patternFill>
          <bgColor rgb="FFC6EFCE"/>
        </patternFill>
      </fill>
    </dxf>
  </d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styles" Target="styles.xml"/></Relationships>
</file>

<file path=xl/worksheets/sheet1.xml><?xml version="1.0" encoding="utf-8"?>
<worksheet xmlns="http://schemas.openxmlformats.org/spreadsheetml/2006/main">
  <sheetPr>
    <tabColor rgb="FF0D5C45"/>
    <pageSetUpPr fitToPage="1"/>
  </sheetPr>
  <sheetViews>
    <sheetView showGridLines="0" workbookViewId="0"/>
  </sheetViews>
  <sheetFormatPr defaultRowHeight="15"/>
  <cols>
    <col min="1" max="1" width="24" customWidth="1"/>
    <col min="2" max="2" width="100" customWidth="1"/>
  </cols>
  <sheetData>
    <row r="1" ht="24" customHeight="1">
      <c r="A1" s="1" t="inlineStr">
        <is>
          <t>Start here</t>
        </is>
      </c>
    </row>
    <row r="2">
      <c r="A2" s="2" t="inlineStr">
        <is>
          <t>One minute, then you know the whole pack. Made by Staffbook. Free to keep, copy and share.</t>
        </is>
      </c>
    </row>
    <row r="3"/>
    <row r="4">
      <c r="A4" s="3" t="inlineStr">
        <is>
          <t>The rule for every tab: white cells are yours to type in. Tinted cells work themselves out.</t>
        </is>
      </c>
    </row>
    <row r="5"/>
    <row r="6">
      <c r="A6" s="4" t="inlineStr">
        <is>
          <t>Annex A staffing</t>
        </is>
      </c>
      <c r="B6" s="5" t="inlineStr">
        <is>
          <t>The staffing numbers Ofsted asks for on notice of a full inspection (Section 7 of Annex A), answered from your staff list and agency log. Fill those two tabs and this one fills itself.</t>
        </is>
      </c>
    </row>
    <row r="7">
      <c r="A7" s="4" t="inlineStr">
        <is>
          <t>Staff list</t>
        </is>
      </c>
      <c r="B7" s="5" t="inlineStr">
        <is>
          <t>One row per person, leavers included. Start date, contract, hours, level 3 dates, first aid. The regulation 32 status works itself out.</t>
        </is>
      </c>
    </row>
    <row r="8">
      <c r="A8" s="4" t="inlineStr">
        <is>
          <t>Agency shifts</t>
        </is>
      </c>
      <c r="B8" s="5" t="inlineStr">
        <is>
          <t>One line per agency shift. Ofsted counts the shifts and the different people; so does this.</t>
        </is>
      </c>
    </row>
    <row r="9">
      <c r="A9" s="4" t="inlineStr">
        <is>
          <t>Training matrix</t>
        </is>
      </c>
      <c r="B9" s="5" t="inlineStr">
        <is>
          <t>Type each person's name, then the date they did each course under "Done on". The tinted cell beside it fills in the expiry. In Excel and Google Sheets it also turns green, amber or red.</t>
        </is>
      </c>
    </row>
    <row r="10">
      <c r="A10" s="4" t="inlineStr">
        <is>
          <t>Supervision tracker</t>
        </is>
      </c>
      <c r="B10" s="5" t="inlineStr">
        <is>
          <t>Name, your cycle in days, date of the last supervision. It flags OVERDUE by itself. Put the manager on the list too.</t>
        </is>
      </c>
    </row>
    <row r="11">
      <c r="A11" s="4" t="inlineStr">
        <is>
          <t>DBS re-check log</t>
        </is>
      </c>
      <c r="B11" s="5" t="inlineStr">
        <is>
          <t>For staff on the Update Service: note each status check and it works out when the next one is due.</t>
        </is>
      </c>
    </row>
    <row r="12">
      <c r="A12" s="4" t="inlineStr">
        <is>
          <t>Governance clocks</t>
        </is>
      </c>
      <c r="B12" s="5" t="inlineStr">
        <is>
          <t>Date each document was last reviewed; next-due dates compute. The monthly visit grid lives here too.</t>
        </is>
      </c>
    </row>
    <row r="13">
      <c r="A13" s="4" t="inlineStr">
        <is>
          <t>Staff file checklist</t>
        </is>
      </c>
      <c r="B13" s="5" t="inlineStr">
        <is>
          <t>One copy of this tab per person. It is the exact list an inspector reads a file against.</t>
        </is>
      </c>
    </row>
    <row r="14">
      <c r="A14" s="4" t="inlineStr">
        <is>
          <t>Employment gaps</t>
        </is>
      </c>
      <c r="B14" s="5" t="inlineStr">
        <is>
          <t>The most common file failure. Work backwards from their current job; every gap over a month gets one written sentence.</t>
        </is>
      </c>
    </row>
    <row r="15">
      <c r="A15" s="4" t="inlineStr">
        <is>
          <t>Inspection self-audit</t>
        </is>
      </c>
      <c r="B15" s="5" t="inlineStr">
        <is>
          <t>The eleven things every inspection opens with. Grade yourself honestly.</t>
        </is>
      </c>
    </row>
    <row r="16"/>
    <row r="17">
      <c r="A17" s="6" t="inlineStr">
        <is>
          <t>Each tab has an example row you can overtype or delete.</t>
        </is>
      </c>
    </row>
    <row r="18">
      <c r="A18" s="6" t="inlineStr">
        <is>
          <t>staffbook.co.uk</t>
        </is>
      </c>
    </row>
  </sheetData>
  <mergeCells count="5">
    <mergeCell ref="A1:B1"/>
    <mergeCell ref="A2:B2"/>
    <mergeCell ref="A4:B4"/>
    <mergeCell ref="A17:B17"/>
    <mergeCell ref="A18:B18"/>
  </mergeCells>
  <pageMargins left="0.4" right="0.4" top="0.5" bottom="0.5" header="0.3" footer="0.3"/>
  <pageSetup paperSize="9" orientation="portrait" fitToWidth="1" fitToHeight="0"/>
</worksheet>
</file>

<file path=xl/worksheets/sheet2.xml><?xml version="1.0" encoding="utf-8"?>
<worksheet xmlns="http://schemas.openxmlformats.org/spreadsheetml/2006/main">
  <sheetPr>
    <tabColor rgb="FF0D5C45"/>
    <pageSetUpPr fitToPage="1"/>
  </sheetPr>
  <sheetViews>
    <sheetView showGridLines="0" workbookViewId="0"/>
  </sheetViews>
  <sheetFormatPr defaultRowHeight="15"/>
  <cols>
    <col min="1" max="1" width="7" customWidth="1"/>
    <col min="2" max="2" width="70" customWidth="1"/>
    <col min="3" max="3" width="28" customWidth="1"/>
    <col min="4" max="4" width="44" customWidth="1"/>
  </cols>
  <sheetData>
    <row r="1" ht="24" customHeight="1">
      <c r="A1" s="1" t="inlineStr">
        <is>
          <t>Annex A, the staffing answers</t>
        </is>
      </c>
    </row>
    <row r="2">
      <c r="A2" s="2" t="inlineStr">
        <is>
          <t>Ofsted's request for information at a full inspection of a children's home (Section 7, staffing; form updated 1 April 2026). Fill the Staff list and Agency shifts tabs and these answer themselves. The numbers are the form's at the time of writing; check the wording against the copy Ofsted sends you.</t>
        </is>
      </c>
    </row>
    <row r="3"/>
    <row r="4" ht="22" customHeight="1">
      <c r="A4" s="4"/>
      <c r="B4" s="4" t="inlineStr">
        <is>
          <t>Your answers</t>
        </is>
      </c>
      <c r="C4" s="4"/>
      <c r="D4" s="4"/>
    </row>
    <row r="5">
      <c r="A5" s="5"/>
      <c r="B5" s="5" t="inlineStr">
        <is>
          <t>Date of the last full inspection</t>
        </is>
      </c>
      <c r="C5" s="7"/>
      <c r="D5" s="8" t="inlineStr">
        <is>
          <t>Everything "since the last full inspection" counts from this date</t>
        </is>
      </c>
    </row>
    <row r="6">
      <c r="A6" s="5"/>
      <c r="B6" s="5" t="inlineStr">
        <is>
          <t>Care staff vacancies today</t>
        </is>
      </c>
      <c r="C6" s="7"/>
      <c r="D6" s="5"/>
    </row>
    <row r="7">
      <c r="A7" s="5"/>
      <c r="B7" s="5" t="inlineStr">
        <is>
          <t>Registered manager holds the level 5 diploma or equivalent (Yes/No)</t>
        </is>
      </c>
      <c r="C7" s="7"/>
      <c r="D7" s="5"/>
    </row>
    <row r="8">
      <c r="A8" s="5"/>
      <c r="B8" s="5" t="inlineStr">
        <is>
          <t>Registered manager holds a level 4 diploma or equivalent (Yes/No)</t>
        </is>
      </c>
      <c r="C8" s="7"/>
      <c r="D8" s="5"/>
    </row>
    <row r="9">
      <c r="A9" s="5"/>
      <c r="B9" s="5" t="inlineStr">
        <is>
          <t>If both are No: the qualification held, or "post vacant"</t>
        </is>
      </c>
      <c r="C9" s="7"/>
      <c r="D9" s="5"/>
    </row>
    <row r="10">
      <c r="A10" s="5"/>
      <c r="B10" s="5" t="inlineStr">
        <is>
          <t>Staff trained on children's healthcare needs since the last inspection (Yes/No)</t>
        </is>
      </c>
      <c r="C10" s="7"/>
      <c r="D10" s="5"/>
    </row>
    <row r="11"/>
    <row r="12" ht="30" customHeight="1">
      <c r="A12" s="4" t="inlineStr">
        <is>
          <t>Q</t>
        </is>
      </c>
      <c r="B12" s="4" t="inlineStr">
        <is>
          <t>The form asks</t>
        </is>
      </c>
      <c r="C12" s="4" t="inlineStr">
        <is>
          <t>Answer (auto)</t>
        </is>
      </c>
      <c r="D12" s="4" t="inlineStr">
        <is>
          <t>Where it comes from</t>
        </is>
      </c>
    </row>
    <row r="13">
      <c r="A13" s="7" t="inlineStr">
        <is>
          <t>28.1</t>
        </is>
      </c>
      <c r="B13" s="5" t="inlineStr">
        <is>
          <t>Does the registered manager hold the level 5 diploma or equivalent?</t>
        </is>
      </c>
      <c r="C13" s="9">
        <f>IF(C7="","",C7)</f>
      </c>
      <c r="D13" s="8" t="inlineStr">
        <is>
          <t>Your answer above</t>
        </is>
      </c>
    </row>
    <row r="14">
      <c r="A14" s="7" t="inlineStr">
        <is>
          <t>28.2</t>
        </is>
      </c>
      <c r="B14" s="5" t="inlineStr">
        <is>
          <t>Does the registered manager hold a level 4 diploma or equivalent?</t>
        </is>
      </c>
      <c r="C14" s="9">
        <f>IF(C8="","",C8)</f>
      </c>
      <c r="D14" s="8" t="inlineStr">
        <is>
          <t>Your answer above</t>
        </is>
      </c>
    </row>
    <row r="15">
      <c r="A15" s="7" t="inlineStr">
        <is>
          <t>28.3</t>
        </is>
      </c>
      <c r="B15" s="5" t="inlineStr">
        <is>
          <t>If both are no, the qualification held, or "post vacant"</t>
        </is>
      </c>
      <c r="C15" s="9">
        <f>IF(C9="","",C9)</f>
      </c>
      <c r="D15" s="8" t="inlineStr">
        <is>
          <t>Your answer above</t>
        </is>
      </c>
    </row>
    <row r="16">
      <c r="A16" s="7" t="inlineStr">
        <is>
          <t>29.1</t>
        </is>
      </c>
      <c r="B16" s="5" t="inlineStr">
        <is>
          <t>Number of new staff in a care role since the last full inspection</t>
        </is>
      </c>
      <c r="C16" s="9">
        <f>IF($C$5="","",COUNTIFS('Staff list'!$B$6:$B$45,"Yes",'Staff list'!$E$6:$E$45,"&gt;"&amp;$C$5))</f>
      </c>
      <c r="D16" s="8" t="inlineStr">
        <is>
          <t>Staff list: care role, start date after the inspection date</t>
        </is>
      </c>
    </row>
    <row r="17">
      <c r="A17" s="7" t="inlineStr">
        <is>
          <t>29.2</t>
        </is>
      </c>
      <c r="B17" s="5" t="inlineStr">
        <is>
          <t>Number of staff in a care role who have left since the last full inspection</t>
        </is>
      </c>
      <c r="C17" s="9">
        <f>IF($C$5="","",COUNTIFS('Staff list'!$B$6:$B$45,"Yes",'Staff list'!$F$6:$F$45,"&gt;"&amp;$C$5))</f>
      </c>
      <c r="D17" s="8" t="inlineStr">
        <is>
          <t>Staff list: care role, left on after the inspection date</t>
        </is>
      </c>
    </row>
    <row r="18">
      <c r="A18" s="7" t="inlineStr">
        <is>
          <t>30.1</t>
        </is>
      </c>
      <c r="B18" s="5" t="inlineStr">
        <is>
          <t>How many times have agency or other non-permanent staff been used in a care role since the last full inspection?</t>
        </is>
      </c>
      <c r="C18" s="9">
        <f>IF($C$5="","",COUNTIFS('Agency shifts'!$A$6:$A$205,"&gt;"&amp;$C$5))</f>
      </c>
      <c r="D18" s="8" t="inlineStr">
        <is>
          <t>Agency shifts: lines dated after the inspection date</t>
        </is>
      </c>
    </row>
    <row r="19">
      <c r="A19" s="7" t="inlineStr">
        <is>
          <t>30.2</t>
        </is>
      </c>
      <c r="B19" s="5" t="inlineStr">
        <is>
          <t>How many different members of agency or other non-permanent staff have been used in a care role since the last full inspection?</t>
        </is>
      </c>
      <c r="C19" s="9">
        <f>IF($C$5="","",SUMPRODUCT((('Agency shifts'!$A$6:$A$205&gt;$C$5)*('Agency shifts'!$B$6:$B$205&lt;&gt;""))/(COUNTIFS('Agency shifts'!$B$6:$B$205,'Agency shifts'!$B$6:$B$205&amp;"",'Agency shifts'!$A$6:$A$205,"&gt;"&amp;$C$5)+('Agency shifts'!$A$6:$A$205&lt;=$C$5)+('Agency shifts'!$B$6:$B$205=""))))</f>
      </c>
      <c r="D19" s="8" t="inlineStr">
        <is>
          <t>Agency shifts: different names after the inspection date</t>
        </is>
      </c>
    </row>
    <row r="20">
      <c r="A20" s="7" t="inlineStr">
        <is>
          <t>31.1</t>
        </is>
      </c>
      <c r="B20" s="5" t="inlineStr">
        <is>
          <t>Number of permanent staff in a care role (people)</t>
        </is>
      </c>
      <c r="C20" s="9">
        <f>COUNTIFS('Staff list'!$B$6:$B$45,"Yes",'Staff list'!$F$6:$F$45,"",'Staff list'!$C$6:$C$45,"Permanent")</f>
      </c>
      <c r="D20" s="8" t="inlineStr">
        <is>
          <t>Staff list: care role, permanent, not left</t>
        </is>
      </c>
    </row>
    <row r="21">
      <c r="A21" s="7" t="inlineStr">
        <is>
          <t>31.2</t>
        </is>
      </c>
      <c r="B21" s="5" t="inlineStr">
        <is>
          <t>How many of these permanent staff in a care role work part time only?</t>
        </is>
      </c>
      <c r="C21" s="9">
        <f>COUNTIFS('Staff list'!$B$6:$B$45,"Yes",'Staff list'!$F$6:$F$45,"",'Staff list'!$C$6:$C$45,"Permanent",'Staff list'!$D$6:$D$45,"Part time")</f>
      </c>
      <c r="D21" s="8" t="inlineStr">
        <is>
          <t>Staff list: as above, part time</t>
        </is>
      </c>
    </row>
    <row r="22">
      <c r="A22" s="7" t="inlineStr">
        <is>
          <t>32.1</t>
        </is>
      </c>
      <c r="B22" s="5" t="inlineStr">
        <is>
          <t>Number of agency/other (non-permanent) staff in a care role (people)</t>
        </is>
      </c>
      <c r="C22" s="9">
        <f>COUNTIFS('Staff list'!$B$6:$B$45,"Yes",'Staff list'!$F$6:$F$45,"",'Staff list'!$C$6:$C$45,"Agency or temporary")</f>
      </c>
      <c r="D22" s="8" t="inlineStr">
        <is>
          <t>Staff list: care role, agency or temporary, not left</t>
        </is>
      </c>
    </row>
    <row r="23">
      <c r="A23" s="7" t="inlineStr">
        <is>
          <t>32.2</t>
        </is>
      </c>
      <c r="B23" s="5" t="inlineStr">
        <is>
          <t>How many of these agency/other (non-permanent) staff work in a care role part time only?</t>
        </is>
      </c>
      <c r="C23" s="9">
        <f>COUNTIFS('Staff list'!$B$6:$B$45,"Yes",'Staff list'!$F$6:$F$45,"",'Staff list'!$C$6:$C$45,"Agency or temporary",'Staff list'!$D$6:$D$45,"Part time")</f>
      </c>
      <c r="D23" s="8" t="inlineStr">
        <is>
          <t>Staff list: as above, part time</t>
        </is>
      </c>
    </row>
    <row r="24">
      <c r="A24" s="7" t="inlineStr">
        <is>
          <t>33</t>
        </is>
      </c>
      <c r="B24" s="5" t="inlineStr">
        <is>
          <t>Number of staff in a care role with a level 3 diploma or equivalent</t>
        </is>
      </c>
      <c r="C24" s="9">
        <f>COUNTIFS('Staff list'!$B$6:$B$45,"Yes",'Staff list'!$F$6:$F$45,"",'Staff list'!$G$6:$G$45,"&lt;&gt;")</f>
      </c>
      <c r="D24" s="8" t="inlineStr">
        <is>
          <t>Staff list: care role, not left, level 3 held on filled</t>
        </is>
      </c>
    </row>
    <row r="25">
      <c r="A25" s="7" t="inlineStr">
        <is>
          <t>34.1</t>
        </is>
      </c>
      <c r="B25" s="5" t="inlineStr">
        <is>
          <t>Number of staff in a care role for whom the relevant date for qualification under Regulation 32 has passed</t>
        </is>
      </c>
      <c r="C25" s="9">
        <f>COUNTIFS('Staff list'!$B$6:$B$45,"Yes",'Staff list'!$F$6:$F$45,"",'Staff list'!$D$6:$D$45,"Full time",'Staff list'!$E$6:$E$45,"&lt;="&amp;EDATE(TODAY(),-24))+COUNTIFS('Staff list'!$B$6:$B$45,"Yes",'Staff list'!$F$6:$F$45,"",'Staff list'!$D$6:$D$45,"Part time",'Staff list'!$E$6:$E$45,"&lt;="&amp;EDATE(TODAY(),-60))</f>
      </c>
      <c r="D25" s="8" t="inlineStr">
        <is>
          <t>Staff list: started over two years ago (five for part time, the form's own suggestion)</t>
        </is>
      </c>
    </row>
    <row r="26">
      <c r="A26" s="7" t="inlineStr">
        <is>
          <t>34.2</t>
        </is>
      </c>
      <c r="B26" s="5" t="inlineStr">
        <is>
          <t>How many of the staff in 34.1 are qualified to diploma level 3?</t>
        </is>
      </c>
      <c r="C26" s="9">
        <f>COUNTIFS('Staff list'!$B$6:$B$45,"Yes",'Staff list'!$F$6:$F$45,"",'Staff list'!$D$6:$D$45,"Full time",'Staff list'!$E$6:$E$45,"&lt;="&amp;EDATE(TODAY(),-24),'Staff list'!$G$6:$G$45,"&lt;&gt;")+COUNTIFS('Staff list'!$B$6:$B$45,"Yes",'Staff list'!$F$6:$F$45,"",'Staff list'!$D$6:$D$45,"Part time",'Staff list'!$E$6:$E$45,"&lt;="&amp;EDATE(TODAY(),-60),'Staff list'!$G$6:$G$45,"&lt;&gt;")</f>
      </c>
      <c r="D26" s="8" t="inlineStr">
        <is>
          <t>Staff list: as 34.1 with level 3 held on filled</t>
        </is>
      </c>
    </row>
    <row r="27">
      <c r="A27" s="7" t="inlineStr">
        <is>
          <t>34.3</t>
        </is>
      </c>
      <c r="B27" s="5" t="inlineStr">
        <is>
          <t>How many of the staff in 34.1 are undertaking the diploma level 3?</t>
        </is>
      </c>
      <c r="C27" s="9">
        <f>COUNTIFS('Staff list'!$B$6:$B$45,"Yes",'Staff list'!$F$6:$F$45,"",'Staff list'!$D$6:$D$45,"Full time",'Staff list'!$E$6:$E$45,"&lt;="&amp;EDATE(TODAY(),-24),'Staff list'!$G$6:$G$45,"",'Staff list'!$H$6:$H$45,"&lt;&gt;")+COUNTIFS('Staff list'!$B$6:$B$45,"Yes",'Staff list'!$F$6:$F$45,"",'Staff list'!$D$6:$D$45,"Part time",'Staff list'!$E$6:$E$45,"&lt;="&amp;EDATE(TODAY(),-60),'Staff list'!$G$6:$G$45,"",'Staff list'!$H$6:$H$45,"&lt;&gt;")</f>
      </c>
      <c r="D27" s="8" t="inlineStr">
        <is>
          <t>Staff list: as 34.1, started but not held</t>
        </is>
      </c>
    </row>
    <row r="28">
      <c r="A28" s="7" t="inlineStr">
        <is>
          <t>34.4</t>
        </is>
      </c>
      <c r="B28" s="5" t="inlineStr">
        <is>
          <t>Names and expected qualification dates of staff in 34.3</t>
        </is>
      </c>
      <c r="C28" s="8" t="inlineStr">
        <is>
          <t>See the Staff list: rows whose Status reads "Date passed, undertaking", with the date in Level 3 expected</t>
        </is>
      </c>
      <c r="D28" s="8" t="inlineStr">
        <is>
          <t>Staff list, Status column</t>
        </is>
      </c>
    </row>
    <row r="29">
      <c r="A29" s="7" t="inlineStr">
        <is>
          <t>35</t>
        </is>
      </c>
      <c r="B29" s="5" t="inlineStr">
        <is>
          <t>Number of all staff with a valid first aid qualification</t>
        </is>
      </c>
      <c r="C29" s="9">
        <f>COUNTIFS('Staff list'!$F$6:$F$45,"",'Staff list'!$J$6:$J$45,"&gt;="&amp;TODAY())</f>
      </c>
      <c r="D29" s="8" t="inlineStr">
        <is>
          <t>Staff list: not left, first aid valid until today or later</t>
        </is>
      </c>
    </row>
    <row r="30">
      <c r="A30" s="7" t="inlineStr">
        <is>
          <t>36</t>
        </is>
      </c>
      <c r="B30" s="5" t="inlineStr">
        <is>
          <t>How many staff vacancies (for staff in a care role) do you currently have?</t>
        </is>
      </c>
      <c r="C30" s="9">
        <f>IF(C6="","",C6)</f>
      </c>
      <c r="D30" s="8" t="inlineStr">
        <is>
          <t>Your answer above</t>
        </is>
      </c>
    </row>
    <row r="31">
      <c r="A31" s="7" t="inlineStr">
        <is>
          <t>37</t>
        </is>
      </c>
      <c r="B31" s="5" t="inlineStr">
        <is>
          <t>Have staff received specific training since the last inspection in relation to children's healthcare needs?</t>
        </is>
      </c>
      <c r="C31" s="9">
        <f>IF(C10="","",C10)</f>
      </c>
      <c r="D31" s="8" t="inlineStr">
        <is>
          <t>Your answer above</t>
        </is>
      </c>
    </row>
    <row r="32">
      <c r="A32" s="7"/>
      <c r="B32" s="5" t="inlineStr">
        <is>
          <t>Date the statement of purpose was last updated</t>
        </is>
      </c>
      <c r="C32" s="10">
        <f>IF('Governance clocks'!B5="","",'Governance clocks'!B5)</f>
      </c>
      <c r="D32" s="8" t="inlineStr">
        <is>
          <t>Governance clocks, row 5</t>
        </is>
      </c>
    </row>
    <row r="33">
      <c r="A33" s="7"/>
      <c r="B33" s="5" t="inlineStr">
        <is>
          <t>Date of the last annual assessment of the location of the home</t>
        </is>
      </c>
      <c r="C33" s="10">
        <f>IF('Governance clocks'!B6="","",'Governance clocks'!B6)</f>
      </c>
      <c r="D33" s="8" t="inlineStr">
        <is>
          <t>Governance clocks, row 6</t>
        </is>
      </c>
    </row>
    <row r="34"/>
    <row r="35">
      <c r="A35" s="6" t="inlineStr">
        <is>
          <t>Regulation 32: care staff complete the level 3 diploma within two years of starting (the form suggests five years for part time). Regulation 28: the registered manager completes the level 5 within three years.</t>
        </is>
      </c>
    </row>
  </sheetData>
  <mergeCells count="4">
    <mergeCell ref="A1:C1"/>
    <mergeCell ref="A2:D2"/>
    <mergeCell ref="B4:D4"/>
    <mergeCell ref="A35:D35"/>
  </mergeCells>
  <pageMargins left="0.4" right="0.4" top="0.5" bottom="0.5" header="0.3" footer="0.3"/>
  <pageSetup paperSize="9" orientation="landscape" fitToWidth="1" fitToHeight="0"/>
</worksheet>
</file>

<file path=xl/worksheets/sheet3.xml><?xml version="1.0" encoding="utf-8"?>
<worksheet xmlns="http://schemas.openxmlformats.org/spreadsheetml/2006/main">
  <sheetPr>
    <tabColor rgb="FF0D5C45"/>
    <pageSetUpPr fitToPage="1"/>
  </sheetPr>
  <sheetViews>
    <sheetView showGridLines="0" workbookViewId="0">
      <pane ySplit="5" topLeftCell="A6" activePane="bottomLeft" state="frozen"/>
    </sheetView>
  </sheetViews>
  <sheetFormatPr defaultRowHeight="15"/>
  <cols>
    <col min="1" max="1" width="26" customWidth="1"/>
    <col min="2" max="2" width="11" customWidth="1"/>
    <col min="3" max="3" width="20" customWidth="1"/>
    <col min="4" max="4" width="16" customWidth="1"/>
    <col min="5" max="5" width="12" customWidth="1"/>
    <col min="6" max="6" width="12" customWidth="1"/>
    <col min="7" max="7" width="13" customWidth="1"/>
    <col min="8" max="8" width="14" customWidth="1"/>
    <col min="9" max="9" width="13" customWidth="1"/>
    <col min="10" max="10" width="14" customWidth="1"/>
    <col min="11" max="11" width="20" customWidth="1"/>
    <col min="12" max="12" width="26" customWidth="1"/>
  </cols>
  <sheetData>
    <row r="1" ht="24" customHeight="1">
      <c r="A1" s="1" t="inlineStr">
        <is>
          <t>Staff list</t>
        </is>
      </c>
    </row>
    <row r="2">
      <c r="A2" s="2" t="inlineStr">
        <is>
          <t>One row per person, leavers included (put the date they left in column F; they stay for the counts). Care role means they work directly with the children. The Status column works itself out from regulation 32: the level 3 within two years of starting, five years for part time.</t>
        </is>
      </c>
    </row>
    <row r="3"/>
    <row r="4" ht="44" customHeight="1">
      <c r="A4" s="4" t="inlineStr">
        <is>
          <t>Staff member</t>
        </is>
      </c>
      <c r="B4" s="4" t="inlineStr">
        <is>
          <t>Care role? (Yes/No)</t>
        </is>
      </c>
      <c r="C4" s="4" t="inlineStr">
        <is>
          <t>Contract (Permanent / Agency or temporary)</t>
        </is>
      </c>
      <c r="D4" s="4" t="inlineStr">
        <is>
          <t>Hours (Full time / Part time)</t>
        </is>
      </c>
      <c r="E4" s="4" t="inlineStr">
        <is>
          <t>Start date</t>
        </is>
      </c>
      <c r="F4" s="4" t="inlineStr">
        <is>
          <t>Left on</t>
        </is>
      </c>
      <c r="G4" s="4" t="inlineStr">
        <is>
          <t>Level 3 held on</t>
        </is>
      </c>
      <c r="H4" s="4" t="inlineStr">
        <is>
          <t>Level 3 started on</t>
        </is>
      </c>
      <c r="I4" s="4" t="inlineStr">
        <is>
          <t>Level 3 expected</t>
        </is>
      </c>
      <c r="J4" s="4" t="inlineStr">
        <is>
          <t>First aid valid until</t>
        </is>
      </c>
      <c r="K4" s="4" t="inlineStr">
        <is>
          <t>Notes</t>
        </is>
      </c>
      <c r="L4" s="4" t="inlineStr">
        <is>
          <t>Regulation 32 status (auto)</t>
        </is>
      </c>
    </row>
    <row r="5">
      <c r="A5" s="6" t="inlineStr">
        <is>
          <t>Type in the white cells. Yes/No, Permanent/Agency or temporary and Full time/Part time must be spelled that way for the counts.</t>
        </is>
      </c>
    </row>
    <row r="6">
      <c r="A6" s="8" t="inlineStr">
        <is>
          <t>Example, overtype or delete me</t>
        </is>
      </c>
      <c r="B6" s="7" t="inlineStr">
        <is>
          <t>Yes</t>
        </is>
      </c>
      <c r="C6" s="7" t="inlineStr">
        <is>
          <t>Permanent</t>
        </is>
      </c>
      <c r="D6" s="7" t="inlineStr">
        <is>
          <t>Full time</t>
        </is>
      </c>
      <c r="E6" s="11">
        <v>45371</v>
      </c>
      <c r="F6" s="7"/>
      <c r="G6" s="7"/>
      <c r="H6" s="11">
        <v>45971</v>
      </c>
      <c r="I6" s="11">
        <v>46391</v>
      </c>
      <c r="J6" s="11">
        <v>46471</v>
      </c>
      <c r="K6" s="5"/>
      <c r="L6" s="9">
        <f>IF(OR(B6&lt;&gt;"Yes",F6&lt;&gt;""),"",IF(G6&lt;&gt;"","Qualified",IF(E6="","",IF(E6&lt;=EDATE(TODAY(),IF(D6="Part time",-60,-24)),IF(H6&lt;&gt;"","Date passed, undertaking","Date passed, not started"),IF(H6&lt;&gt;"","Undertaking, in time","Due by "&amp;TEXT(EDATE(E6,24),"dd/mm/yyyy"))))))</f>
      </c>
    </row>
    <row r="7">
      <c r="A7" s="5"/>
      <c r="B7" s="7"/>
      <c r="C7" s="7"/>
      <c r="D7" s="7"/>
      <c r="E7" s="7"/>
      <c r="F7" s="7"/>
      <c r="G7" s="7"/>
      <c r="H7" s="7"/>
      <c r="I7" s="7"/>
      <c r="J7" s="7"/>
      <c r="K7" s="5"/>
      <c r="L7" s="9">
        <f>IF(OR(B7&lt;&gt;"Yes",F7&lt;&gt;""),"",IF(G7&lt;&gt;"","Qualified",IF(E7="","",IF(E7&lt;=EDATE(TODAY(),IF(D7="Part time",-60,-24)),IF(H7&lt;&gt;"","Date passed, undertaking","Date passed, not started"),IF(H7&lt;&gt;"","Undertaking, in time","Due by "&amp;TEXT(EDATE(E7,24),"dd/mm/yyyy"))))))</f>
      </c>
    </row>
    <row r="8">
      <c r="A8" s="5"/>
      <c r="B8" s="7"/>
      <c r="C8" s="7"/>
      <c r="D8" s="7"/>
      <c r="E8" s="7"/>
      <c r="F8" s="7"/>
      <c r="G8" s="7"/>
      <c r="H8" s="7"/>
      <c r="I8" s="7"/>
      <c r="J8" s="7"/>
      <c r="K8" s="5"/>
      <c r="L8" s="9">
        <f>IF(OR(B8&lt;&gt;"Yes",F8&lt;&gt;""),"",IF(G8&lt;&gt;"","Qualified",IF(E8="","",IF(E8&lt;=EDATE(TODAY(),IF(D8="Part time",-60,-24)),IF(H8&lt;&gt;"","Date passed, undertaking","Date passed, not started"),IF(H8&lt;&gt;"","Undertaking, in time","Due by "&amp;TEXT(EDATE(E8,24),"dd/mm/yyyy"))))))</f>
      </c>
    </row>
    <row r="9">
      <c r="A9" s="5"/>
      <c r="B9" s="7"/>
      <c r="C9" s="7"/>
      <c r="D9" s="7"/>
      <c r="E9" s="7"/>
      <c r="F9" s="7"/>
      <c r="G9" s="7"/>
      <c r="H9" s="7"/>
      <c r="I9" s="7"/>
      <c r="J9" s="7"/>
      <c r="K9" s="5"/>
      <c r="L9" s="9">
        <f>IF(OR(B9&lt;&gt;"Yes",F9&lt;&gt;""),"",IF(G9&lt;&gt;"","Qualified",IF(E9="","",IF(E9&lt;=EDATE(TODAY(),IF(D9="Part time",-60,-24)),IF(H9&lt;&gt;"","Date passed, undertaking","Date passed, not started"),IF(H9&lt;&gt;"","Undertaking, in time","Due by "&amp;TEXT(EDATE(E9,24),"dd/mm/yyyy"))))))</f>
      </c>
    </row>
    <row r="10">
      <c r="A10" s="5"/>
      <c r="B10" s="7"/>
      <c r="C10" s="7"/>
      <c r="D10" s="7"/>
      <c r="E10" s="7"/>
      <c r="F10" s="7"/>
      <c r="G10" s="7"/>
      <c r="H10" s="7"/>
      <c r="I10" s="7"/>
      <c r="J10" s="7"/>
      <c r="K10" s="5"/>
      <c r="L10" s="9">
        <f>IF(OR(B10&lt;&gt;"Yes",F10&lt;&gt;""),"",IF(G10&lt;&gt;"","Qualified",IF(E10="","",IF(E10&lt;=EDATE(TODAY(),IF(D10="Part time",-60,-24)),IF(H10&lt;&gt;"","Date passed, undertaking","Date passed, not started"),IF(H10&lt;&gt;"","Undertaking, in time","Due by "&amp;TEXT(EDATE(E10,24),"dd/mm/yyyy"))))))</f>
      </c>
    </row>
    <row r="11">
      <c r="A11" s="5"/>
      <c r="B11" s="7"/>
      <c r="C11" s="7"/>
      <c r="D11" s="7"/>
      <c r="E11" s="7"/>
      <c r="F11" s="7"/>
      <c r="G11" s="7"/>
      <c r="H11" s="7"/>
      <c r="I11" s="7"/>
      <c r="J11" s="7"/>
      <c r="K11" s="5"/>
      <c r="L11" s="9">
        <f>IF(OR(B11&lt;&gt;"Yes",F11&lt;&gt;""),"",IF(G11&lt;&gt;"","Qualified",IF(E11="","",IF(E11&lt;=EDATE(TODAY(),IF(D11="Part time",-60,-24)),IF(H11&lt;&gt;"","Date passed, undertaking","Date passed, not started"),IF(H11&lt;&gt;"","Undertaking, in time","Due by "&amp;TEXT(EDATE(E11,24),"dd/mm/yyyy"))))))</f>
      </c>
    </row>
    <row r="12">
      <c r="A12" s="5"/>
      <c r="B12" s="7"/>
      <c r="C12" s="7"/>
      <c r="D12" s="7"/>
      <c r="E12" s="7"/>
      <c r="F12" s="7"/>
      <c r="G12" s="7"/>
      <c r="H12" s="7"/>
      <c r="I12" s="7"/>
      <c r="J12" s="7"/>
      <c r="K12" s="5"/>
      <c r="L12" s="9">
        <f>IF(OR(B12&lt;&gt;"Yes",F12&lt;&gt;""),"",IF(G12&lt;&gt;"","Qualified",IF(E12="","",IF(E12&lt;=EDATE(TODAY(),IF(D12="Part time",-60,-24)),IF(H12&lt;&gt;"","Date passed, undertaking","Date passed, not started"),IF(H12&lt;&gt;"","Undertaking, in time","Due by "&amp;TEXT(EDATE(E12,24),"dd/mm/yyyy"))))))</f>
      </c>
    </row>
    <row r="13">
      <c r="A13" s="5"/>
      <c r="B13" s="7"/>
      <c r="C13" s="7"/>
      <c r="D13" s="7"/>
      <c r="E13" s="7"/>
      <c r="F13" s="7"/>
      <c r="G13" s="7"/>
      <c r="H13" s="7"/>
      <c r="I13" s="7"/>
      <c r="J13" s="7"/>
      <c r="K13" s="5"/>
      <c r="L13" s="9">
        <f>IF(OR(B13&lt;&gt;"Yes",F13&lt;&gt;""),"",IF(G13&lt;&gt;"","Qualified",IF(E13="","",IF(E13&lt;=EDATE(TODAY(),IF(D13="Part time",-60,-24)),IF(H13&lt;&gt;"","Date passed, undertaking","Date passed, not started"),IF(H13&lt;&gt;"","Undertaking, in time","Due by "&amp;TEXT(EDATE(E13,24),"dd/mm/yyyy"))))))</f>
      </c>
    </row>
    <row r="14">
      <c r="A14" s="5"/>
      <c r="B14" s="7"/>
      <c r="C14" s="7"/>
      <c r="D14" s="7"/>
      <c r="E14" s="7"/>
      <c r="F14" s="7"/>
      <c r="G14" s="7"/>
      <c r="H14" s="7"/>
      <c r="I14" s="7"/>
      <c r="J14" s="7"/>
      <c r="K14" s="5"/>
      <c r="L14" s="9">
        <f>IF(OR(B14&lt;&gt;"Yes",F14&lt;&gt;""),"",IF(G14&lt;&gt;"","Qualified",IF(E14="","",IF(E14&lt;=EDATE(TODAY(),IF(D14="Part time",-60,-24)),IF(H14&lt;&gt;"","Date passed, undertaking","Date passed, not started"),IF(H14&lt;&gt;"","Undertaking, in time","Due by "&amp;TEXT(EDATE(E14,24),"dd/mm/yyyy"))))))</f>
      </c>
    </row>
    <row r="15">
      <c r="A15" s="5"/>
      <c r="B15" s="7"/>
      <c r="C15" s="7"/>
      <c r="D15" s="7"/>
      <c r="E15" s="7"/>
      <c r="F15" s="7"/>
      <c r="G15" s="7"/>
      <c r="H15" s="7"/>
      <c r="I15" s="7"/>
      <c r="J15" s="7"/>
      <c r="K15" s="5"/>
      <c r="L15" s="9">
        <f>IF(OR(B15&lt;&gt;"Yes",F15&lt;&gt;""),"",IF(G15&lt;&gt;"","Qualified",IF(E15="","",IF(E15&lt;=EDATE(TODAY(),IF(D15="Part time",-60,-24)),IF(H15&lt;&gt;"","Date passed, undertaking","Date passed, not started"),IF(H15&lt;&gt;"","Undertaking, in time","Due by "&amp;TEXT(EDATE(E15,24),"dd/mm/yyyy"))))))</f>
      </c>
    </row>
    <row r="16">
      <c r="A16" s="5"/>
      <c r="B16" s="7"/>
      <c r="C16" s="7"/>
      <c r="D16" s="7"/>
      <c r="E16" s="7"/>
      <c r="F16" s="7"/>
      <c r="G16" s="7"/>
      <c r="H16" s="7"/>
      <c r="I16" s="7"/>
      <c r="J16" s="7"/>
      <c r="K16" s="5"/>
      <c r="L16" s="9">
        <f>IF(OR(B16&lt;&gt;"Yes",F16&lt;&gt;""),"",IF(G16&lt;&gt;"","Qualified",IF(E16="","",IF(E16&lt;=EDATE(TODAY(),IF(D16="Part time",-60,-24)),IF(H16&lt;&gt;"","Date passed, undertaking","Date passed, not started"),IF(H16&lt;&gt;"","Undertaking, in time","Due by "&amp;TEXT(EDATE(E16,24),"dd/mm/yyyy"))))))</f>
      </c>
    </row>
    <row r="17">
      <c r="A17" s="5"/>
      <c r="B17" s="7"/>
      <c r="C17" s="7"/>
      <c r="D17" s="7"/>
      <c r="E17" s="7"/>
      <c r="F17" s="7"/>
      <c r="G17" s="7"/>
      <c r="H17" s="7"/>
      <c r="I17" s="7"/>
      <c r="J17" s="7"/>
      <c r="K17" s="5"/>
      <c r="L17" s="9">
        <f>IF(OR(B17&lt;&gt;"Yes",F17&lt;&gt;""),"",IF(G17&lt;&gt;"","Qualified",IF(E17="","",IF(E17&lt;=EDATE(TODAY(),IF(D17="Part time",-60,-24)),IF(H17&lt;&gt;"","Date passed, undertaking","Date passed, not started"),IF(H17&lt;&gt;"","Undertaking, in time","Due by "&amp;TEXT(EDATE(E17,24),"dd/mm/yyyy"))))))</f>
      </c>
    </row>
    <row r="18">
      <c r="A18" s="5"/>
      <c r="B18" s="7"/>
      <c r="C18" s="7"/>
      <c r="D18" s="7"/>
      <c r="E18" s="7"/>
      <c r="F18" s="7"/>
      <c r="G18" s="7"/>
      <c r="H18" s="7"/>
      <c r="I18" s="7"/>
      <c r="J18" s="7"/>
      <c r="K18" s="5"/>
      <c r="L18" s="9">
        <f>IF(OR(B18&lt;&gt;"Yes",F18&lt;&gt;""),"",IF(G18&lt;&gt;"","Qualified",IF(E18="","",IF(E18&lt;=EDATE(TODAY(),IF(D18="Part time",-60,-24)),IF(H18&lt;&gt;"","Date passed, undertaking","Date passed, not started"),IF(H18&lt;&gt;"","Undertaking, in time","Due by "&amp;TEXT(EDATE(E18,24),"dd/mm/yyyy"))))))</f>
      </c>
    </row>
    <row r="19">
      <c r="A19" s="5"/>
      <c r="B19" s="7"/>
      <c r="C19" s="7"/>
      <c r="D19" s="7"/>
      <c r="E19" s="7"/>
      <c r="F19" s="7"/>
      <c r="G19" s="7"/>
      <c r="H19" s="7"/>
      <c r="I19" s="7"/>
      <c r="J19" s="7"/>
      <c r="K19" s="5"/>
      <c r="L19" s="9">
        <f>IF(OR(B19&lt;&gt;"Yes",F19&lt;&gt;""),"",IF(G19&lt;&gt;"","Qualified",IF(E19="","",IF(E19&lt;=EDATE(TODAY(),IF(D19="Part time",-60,-24)),IF(H19&lt;&gt;"","Date passed, undertaking","Date passed, not started"),IF(H19&lt;&gt;"","Undertaking, in time","Due by "&amp;TEXT(EDATE(E19,24),"dd/mm/yyyy"))))))</f>
      </c>
    </row>
    <row r="20">
      <c r="A20" s="5"/>
      <c r="B20" s="7"/>
      <c r="C20" s="7"/>
      <c r="D20" s="7"/>
      <c r="E20" s="7"/>
      <c r="F20" s="7"/>
      <c r="G20" s="7"/>
      <c r="H20" s="7"/>
      <c r="I20" s="7"/>
      <c r="J20" s="7"/>
      <c r="K20" s="5"/>
      <c r="L20" s="9">
        <f>IF(OR(B20&lt;&gt;"Yes",F20&lt;&gt;""),"",IF(G20&lt;&gt;"","Qualified",IF(E20="","",IF(E20&lt;=EDATE(TODAY(),IF(D20="Part time",-60,-24)),IF(H20&lt;&gt;"","Date passed, undertaking","Date passed, not started"),IF(H20&lt;&gt;"","Undertaking, in time","Due by "&amp;TEXT(EDATE(E20,24),"dd/mm/yyyy"))))))</f>
      </c>
    </row>
    <row r="21">
      <c r="A21" s="5"/>
      <c r="B21" s="7"/>
      <c r="C21" s="7"/>
      <c r="D21" s="7"/>
      <c r="E21" s="7"/>
      <c r="F21" s="7"/>
      <c r="G21" s="7"/>
      <c r="H21" s="7"/>
      <c r="I21" s="7"/>
      <c r="J21" s="7"/>
      <c r="K21" s="5"/>
      <c r="L21" s="9">
        <f>IF(OR(B21&lt;&gt;"Yes",F21&lt;&gt;""),"",IF(G21&lt;&gt;"","Qualified",IF(E21="","",IF(E21&lt;=EDATE(TODAY(),IF(D21="Part time",-60,-24)),IF(H21&lt;&gt;"","Date passed, undertaking","Date passed, not started"),IF(H21&lt;&gt;"","Undertaking, in time","Due by "&amp;TEXT(EDATE(E21,24),"dd/mm/yyyy"))))))</f>
      </c>
    </row>
    <row r="22">
      <c r="A22" s="5"/>
      <c r="B22" s="7"/>
      <c r="C22" s="7"/>
      <c r="D22" s="7"/>
      <c r="E22" s="7"/>
      <c r="F22" s="7"/>
      <c r="G22" s="7"/>
      <c r="H22" s="7"/>
      <c r="I22" s="7"/>
      <c r="J22" s="7"/>
      <c r="K22" s="5"/>
      <c r="L22" s="9">
        <f>IF(OR(B22&lt;&gt;"Yes",F22&lt;&gt;""),"",IF(G22&lt;&gt;"","Qualified",IF(E22="","",IF(E22&lt;=EDATE(TODAY(),IF(D22="Part time",-60,-24)),IF(H22&lt;&gt;"","Date passed, undertaking","Date passed, not started"),IF(H22&lt;&gt;"","Undertaking, in time","Due by "&amp;TEXT(EDATE(E22,24),"dd/mm/yyyy"))))))</f>
      </c>
    </row>
    <row r="23">
      <c r="A23" s="5"/>
      <c r="B23" s="7"/>
      <c r="C23" s="7"/>
      <c r="D23" s="7"/>
      <c r="E23" s="7"/>
      <c r="F23" s="7"/>
      <c r="G23" s="7"/>
      <c r="H23" s="7"/>
      <c r="I23" s="7"/>
      <c r="J23" s="7"/>
      <c r="K23" s="5"/>
      <c r="L23" s="9">
        <f>IF(OR(B23&lt;&gt;"Yes",F23&lt;&gt;""),"",IF(G23&lt;&gt;"","Qualified",IF(E23="","",IF(E23&lt;=EDATE(TODAY(),IF(D23="Part time",-60,-24)),IF(H23&lt;&gt;"","Date passed, undertaking","Date passed, not started"),IF(H23&lt;&gt;"","Undertaking, in time","Due by "&amp;TEXT(EDATE(E23,24),"dd/mm/yyyy"))))))</f>
      </c>
    </row>
    <row r="24">
      <c r="A24" s="5"/>
      <c r="B24" s="7"/>
      <c r="C24" s="7"/>
      <c r="D24" s="7"/>
      <c r="E24" s="7"/>
      <c r="F24" s="7"/>
      <c r="G24" s="7"/>
      <c r="H24" s="7"/>
      <c r="I24" s="7"/>
      <c r="J24" s="7"/>
      <c r="K24" s="5"/>
      <c r="L24" s="9">
        <f>IF(OR(B24&lt;&gt;"Yes",F24&lt;&gt;""),"",IF(G24&lt;&gt;"","Qualified",IF(E24="","",IF(E24&lt;=EDATE(TODAY(),IF(D24="Part time",-60,-24)),IF(H24&lt;&gt;"","Date passed, undertaking","Date passed, not started"),IF(H24&lt;&gt;"","Undertaking, in time","Due by "&amp;TEXT(EDATE(E24,24),"dd/mm/yyyy"))))))</f>
      </c>
    </row>
    <row r="25">
      <c r="A25" s="5"/>
      <c r="B25" s="7"/>
      <c r="C25" s="7"/>
      <c r="D25" s="7"/>
      <c r="E25" s="7"/>
      <c r="F25" s="7"/>
      <c r="G25" s="7"/>
      <c r="H25" s="7"/>
      <c r="I25" s="7"/>
      <c r="J25" s="7"/>
      <c r="K25" s="5"/>
      <c r="L25" s="9">
        <f>IF(OR(B25&lt;&gt;"Yes",F25&lt;&gt;""),"",IF(G25&lt;&gt;"","Qualified",IF(E25="","",IF(E25&lt;=EDATE(TODAY(),IF(D25="Part time",-60,-24)),IF(H25&lt;&gt;"","Date passed, undertaking","Date passed, not started"),IF(H25&lt;&gt;"","Undertaking, in time","Due by "&amp;TEXT(EDATE(E25,24),"dd/mm/yyyy"))))))</f>
      </c>
    </row>
    <row r="26">
      <c r="A26" s="5"/>
      <c r="B26" s="7"/>
      <c r="C26" s="7"/>
      <c r="D26" s="7"/>
      <c r="E26" s="7"/>
      <c r="F26" s="7"/>
      <c r="G26" s="7"/>
      <c r="H26" s="7"/>
      <c r="I26" s="7"/>
      <c r="J26" s="7"/>
      <c r="K26" s="5"/>
      <c r="L26" s="9">
        <f>IF(OR(B26&lt;&gt;"Yes",F26&lt;&gt;""),"",IF(G26&lt;&gt;"","Qualified",IF(E26="","",IF(E26&lt;=EDATE(TODAY(),IF(D26="Part time",-60,-24)),IF(H26&lt;&gt;"","Date passed, undertaking","Date passed, not started"),IF(H26&lt;&gt;"","Undertaking, in time","Due by "&amp;TEXT(EDATE(E26,24),"dd/mm/yyyy"))))))</f>
      </c>
    </row>
    <row r="27">
      <c r="A27" s="5"/>
      <c r="B27" s="7"/>
      <c r="C27" s="7"/>
      <c r="D27" s="7"/>
      <c r="E27" s="7"/>
      <c r="F27" s="7"/>
      <c r="G27" s="7"/>
      <c r="H27" s="7"/>
      <c r="I27" s="7"/>
      <c r="J27" s="7"/>
      <c r="K27" s="5"/>
      <c r="L27" s="9">
        <f>IF(OR(B27&lt;&gt;"Yes",F27&lt;&gt;""),"",IF(G27&lt;&gt;"","Qualified",IF(E27="","",IF(E27&lt;=EDATE(TODAY(),IF(D27="Part time",-60,-24)),IF(H27&lt;&gt;"","Date passed, undertaking","Date passed, not started"),IF(H27&lt;&gt;"","Undertaking, in time","Due by "&amp;TEXT(EDATE(E27,24),"dd/mm/yyyy"))))))</f>
      </c>
    </row>
    <row r="28">
      <c r="A28" s="5"/>
      <c r="B28" s="7"/>
      <c r="C28" s="7"/>
      <c r="D28" s="7"/>
      <c r="E28" s="7"/>
      <c r="F28" s="7"/>
      <c r="G28" s="7"/>
      <c r="H28" s="7"/>
      <c r="I28" s="7"/>
      <c r="J28" s="7"/>
      <c r="K28" s="5"/>
      <c r="L28" s="9">
        <f>IF(OR(B28&lt;&gt;"Yes",F28&lt;&gt;""),"",IF(G28&lt;&gt;"","Qualified",IF(E28="","",IF(E28&lt;=EDATE(TODAY(),IF(D28="Part time",-60,-24)),IF(H28&lt;&gt;"","Date passed, undertaking","Date passed, not started"),IF(H28&lt;&gt;"","Undertaking, in time","Due by "&amp;TEXT(EDATE(E28,24),"dd/mm/yyyy"))))))</f>
      </c>
    </row>
    <row r="29">
      <c r="A29" s="5"/>
      <c r="B29" s="7"/>
      <c r="C29" s="7"/>
      <c r="D29" s="7"/>
      <c r="E29" s="7"/>
      <c r="F29" s="7"/>
      <c r="G29" s="7"/>
      <c r="H29" s="7"/>
      <c r="I29" s="7"/>
      <c r="J29" s="7"/>
      <c r="K29" s="5"/>
      <c r="L29" s="9">
        <f>IF(OR(B29&lt;&gt;"Yes",F29&lt;&gt;""),"",IF(G29&lt;&gt;"","Qualified",IF(E29="","",IF(E29&lt;=EDATE(TODAY(),IF(D29="Part time",-60,-24)),IF(H29&lt;&gt;"","Date passed, undertaking","Date passed, not started"),IF(H29&lt;&gt;"","Undertaking, in time","Due by "&amp;TEXT(EDATE(E29,24),"dd/mm/yyyy"))))))</f>
      </c>
    </row>
    <row r="30">
      <c r="A30" s="5"/>
      <c r="B30" s="7"/>
      <c r="C30" s="7"/>
      <c r="D30" s="7"/>
      <c r="E30" s="7"/>
      <c r="F30" s="7"/>
      <c r="G30" s="7"/>
      <c r="H30" s="7"/>
      <c r="I30" s="7"/>
      <c r="J30" s="7"/>
      <c r="K30" s="5"/>
      <c r="L30" s="9">
        <f>IF(OR(B30&lt;&gt;"Yes",F30&lt;&gt;""),"",IF(G30&lt;&gt;"","Qualified",IF(E30="","",IF(E30&lt;=EDATE(TODAY(),IF(D30="Part time",-60,-24)),IF(H30&lt;&gt;"","Date passed, undertaking","Date passed, not started"),IF(H30&lt;&gt;"","Undertaking, in time","Due by "&amp;TEXT(EDATE(E30,24),"dd/mm/yyyy"))))))</f>
      </c>
    </row>
    <row r="31">
      <c r="A31" s="5"/>
      <c r="B31" s="7"/>
      <c r="C31" s="7"/>
      <c r="D31" s="7"/>
      <c r="E31" s="7"/>
      <c r="F31" s="7"/>
      <c r="G31" s="7"/>
      <c r="H31" s="7"/>
      <c r="I31" s="7"/>
      <c r="J31" s="7"/>
      <c r="K31" s="5"/>
      <c r="L31" s="9">
        <f>IF(OR(B31&lt;&gt;"Yes",F31&lt;&gt;""),"",IF(G31&lt;&gt;"","Qualified",IF(E31="","",IF(E31&lt;=EDATE(TODAY(),IF(D31="Part time",-60,-24)),IF(H31&lt;&gt;"","Date passed, undertaking","Date passed, not started"),IF(H31&lt;&gt;"","Undertaking, in time","Due by "&amp;TEXT(EDATE(E31,24),"dd/mm/yyyy"))))))</f>
      </c>
    </row>
    <row r="32">
      <c r="A32" s="5"/>
      <c r="B32" s="7"/>
      <c r="C32" s="7"/>
      <c r="D32" s="7"/>
      <c r="E32" s="7"/>
      <c r="F32" s="7"/>
      <c r="G32" s="7"/>
      <c r="H32" s="7"/>
      <c r="I32" s="7"/>
      <c r="J32" s="7"/>
      <c r="K32" s="5"/>
      <c r="L32" s="9">
        <f>IF(OR(B32&lt;&gt;"Yes",F32&lt;&gt;""),"",IF(G32&lt;&gt;"","Qualified",IF(E32="","",IF(E32&lt;=EDATE(TODAY(),IF(D32="Part time",-60,-24)),IF(H32&lt;&gt;"","Date passed, undertaking","Date passed, not started"),IF(H32&lt;&gt;"","Undertaking, in time","Due by "&amp;TEXT(EDATE(E32,24),"dd/mm/yyyy"))))))</f>
      </c>
    </row>
    <row r="33">
      <c r="A33" s="5"/>
      <c r="B33" s="7"/>
      <c r="C33" s="7"/>
      <c r="D33" s="7"/>
      <c r="E33" s="7"/>
      <c r="F33" s="7"/>
      <c r="G33" s="7"/>
      <c r="H33" s="7"/>
      <c r="I33" s="7"/>
      <c r="J33" s="7"/>
      <c r="K33" s="5"/>
      <c r="L33" s="9">
        <f>IF(OR(B33&lt;&gt;"Yes",F33&lt;&gt;""),"",IF(G33&lt;&gt;"","Qualified",IF(E33="","",IF(E33&lt;=EDATE(TODAY(),IF(D33="Part time",-60,-24)),IF(H33&lt;&gt;"","Date passed, undertaking","Date passed, not started"),IF(H33&lt;&gt;"","Undertaking, in time","Due by "&amp;TEXT(EDATE(E33,24),"dd/mm/yyyy"))))))</f>
      </c>
    </row>
    <row r="34">
      <c r="A34" s="5"/>
      <c r="B34" s="7"/>
      <c r="C34" s="7"/>
      <c r="D34" s="7"/>
      <c r="E34" s="7"/>
      <c r="F34" s="7"/>
      <c r="G34" s="7"/>
      <c r="H34" s="7"/>
      <c r="I34" s="7"/>
      <c r="J34" s="7"/>
      <c r="K34" s="5"/>
      <c r="L34" s="9">
        <f>IF(OR(B34&lt;&gt;"Yes",F34&lt;&gt;""),"",IF(G34&lt;&gt;"","Qualified",IF(E34="","",IF(E34&lt;=EDATE(TODAY(),IF(D34="Part time",-60,-24)),IF(H34&lt;&gt;"","Date passed, undertaking","Date passed, not started"),IF(H34&lt;&gt;"","Undertaking, in time","Due by "&amp;TEXT(EDATE(E34,24),"dd/mm/yyyy"))))))</f>
      </c>
    </row>
    <row r="35">
      <c r="A35" s="5"/>
      <c r="B35" s="7"/>
      <c r="C35" s="7"/>
      <c r="D35" s="7"/>
      <c r="E35" s="7"/>
      <c r="F35" s="7"/>
      <c r="G35" s="7"/>
      <c r="H35" s="7"/>
      <c r="I35" s="7"/>
      <c r="J35" s="7"/>
      <c r="K35" s="5"/>
      <c r="L35" s="9">
        <f>IF(OR(B35&lt;&gt;"Yes",F35&lt;&gt;""),"",IF(G35&lt;&gt;"","Qualified",IF(E35="","",IF(E35&lt;=EDATE(TODAY(),IF(D35="Part time",-60,-24)),IF(H35&lt;&gt;"","Date passed, undertaking","Date passed, not started"),IF(H35&lt;&gt;"","Undertaking, in time","Due by "&amp;TEXT(EDATE(E35,24),"dd/mm/yyyy"))))))</f>
      </c>
    </row>
    <row r="36">
      <c r="A36" s="5"/>
      <c r="B36" s="7"/>
      <c r="C36" s="7"/>
      <c r="D36" s="7"/>
      <c r="E36" s="7"/>
      <c r="F36" s="7"/>
      <c r="G36" s="7"/>
      <c r="H36" s="7"/>
      <c r="I36" s="7"/>
      <c r="J36" s="7"/>
      <c r="K36" s="5"/>
      <c r="L36" s="9">
        <f>IF(OR(B36&lt;&gt;"Yes",F36&lt;&gt;""),"",IF(G36&lt;&gt;"","Qualified",IF(E36="","",IF(E36&lt;=EDATE(TODAY(),IF(D36="Part time",-60,-24)),IF(H36&lt;&gt;"","Date passed, undertaking","Date passed, not started"),IF(H36&lt;&gt;"","Undertaking, in time","Due by "&amp;TEXT(EDATE(E36,24),"dd/mm/yyyy"))))))</f>
      </c>
    </row>
    <row r="37">
      <c r="A37" s="5"/>
      <c r="B37" s="7"/>
      <c r="C37" s="7"/>
      <c r="D37" s="7"/>
      <c r="E37" s="7"/>
      <c r="F37" s="7"/>
      <c r="G37" s="7"/>
      <c r="H37" s="7"/>
      <c r="I37" s="7"/>
      <c r="J37" s="7"/>
      <c r="K37" s="5"/>
      <c r="L37" s="9">
        <f>IF(OR(B37&lt;&gt;"Yes",F37&lt;&gt;""),"",IF(G37&lt;&gt;"","Qualified",IF(E37="","",IF(E37&lt;=EDATE(TODAY(),IF(D37="Part time",-60,-24)),IF(H37&lt;&gt;"","Date passed, undertaking","Date passed, not started"),IF(H37&lt;&gt;"","Undertaking, in time","Due by "&amp;TEXT(EDATE(E37,24),"dd/mm/yyyy"))))))</f>
      </c>
    </row>
    <row r="38">
      <c r="A38" s="5"/>
      <c r="B38" s="7"/>
      <c r="C38" s="7"/>
      <c r="D38" s="7"/>
      <c r="E38" s="7"/>
      <c r="F38" s="7"/>
      <c r="G38" s="7"/>
      <c r="H38" s="7"/>
      <c r="I38" s="7"/>
      <c r="J38" s="7"/>
      <c r="K38" s="5"/>
      <c r="L38" s="9">
        <f>IF(OR(B38&lt;&gt;"Yes",F38&lt;&gt;""),"",IF(G38&lt;&gt;"","Qualified",IF(E38="","",IF(E38&lt;=EDATE(TODAY(),IF(D38="Part time",-60,-24)),IF(H38&lt;&gt;"","Date passed, undertaking","Date passed, not started"),IF(H38&lt;&gt;"","Undertaking, in time","Due by "&amp;TEXT(EDATE(E38,24),"dd/mm/yyyy"))))))</f>
      </c>
    </row>
    <row r="39">
      <c r="A39" s="5"/>
      <c r="B39" s="7"/>
      <c r="C39" s="7"/>
      <c r="D39" s="7"/>
      <c r="E39" s="7"/>
      <c r="F39" s="7"/>
      <c r="G39" s="7"/>
      <c r="H39" s="7"/>
      <c r="I39" s="7"/>
      <c r="J39" s="7"/>
      <c r="K39" s="5"/>
      <c r="L39" s="9">
        <f>IF(OR(B39&lt;&gt;"Yes",F39&lt;&gt;""),"",IF(G39&lt;&gt;"","Qualified",IF(E39="","",IF(E39&lt;=EDATE(TODAY(),IF(D39="Part time",-60,-24)),IF(H39&lt;&gt;"","Date passed, undertaking","Date passed, not started"),IF(H39&lt;&gt;"","Undertaking, in time","Due by "&amp;TEXT(EDATE(E39,24),"dd/mm/yyyy"))))))</f>
      </c>
    </row>
    <row r="40">
      <c r="A40" s="5"/>
      <c r="B40" s="7"/>
      <c r="C40" s="7"/>
      <c r="D40" s="7"/>
      <c r="E40" s="7"/>
      <c r="F40" s="7"/>
      <c r="G40" s="7"/>
      <c r="H40" s="7"/>
      <c r="I40" s="7"/>
      <c r="J40" s="7"/>
      <c r="K40" s="5"/>
      <c r="L40" s="9">
        <f>IF(OR(B40&lt;&gt;"Yes",F40&lt;&gt;""),"",IF(G40&lt;&gt;"","Qualified",IF(E40="","",IF(E40&lt;=EDATE(TODAY(),IF(D40="Part time",-60,-24)),IF(H40&lt;&gt;"","Date passed, undertaking","Date passed, not started"),IF(H40&lt;&gt;"","Undertaking, in time","Due by "&amp;TEXT(EDATE(E40,24),"dd/mm/yyyy"))))))</f>
      </c>
    </row>
    <row r="41">
      <c r="A41" s="5"/>
      <c r="B41" s="7"/>
      <c r="C41" s="7"/>
      <c r="D41" s="7"/>
      <c r="E41" s="7"/>
      <c r="F41" s="7"/>
      <c r="G41" s="7"/>
      <c r="H41" s="7"/>
      <c r="I41" s="7"/>
      <c r="J41" s="7"/>
      <c r="K41" s="5"/>
      <c r="L41" s="9">
        <f>IF(OR(B41&lt;&gt;"Yes",F41&lt;&gt;""),"",IF(G41&lt;&gt;"","Qualified",IF(E41="","",IF(E41&lt;=EDATE(TODAY(),IF(D41="Part time",-60,-24)),IF(H41&lt;&gt;"","Date passed, undertaking","Date passed, not started"),IF(H41&lt;&gt;"","Undertaking, in time","Due by "&amp;TEXT(EDATE(E41,24),"dd/mm/yyyy"))))))</f>
      </c>
    </row>
    <row r="42">
      <c r="A42" s="5"/>
      <c r="B42" s="7"/>
      <c r="C42" s="7"/>
      <c r="D42" s="7"/>
      <c r="E42" s="7"/>
      <c r="F42" s="7"/>
      <c r="G42" s="7"/>
      <c r="H42" s="7"/>
      <c r="I42" s="7"/>
      <c r="J42" s="7"/>
      <c r="K42" s="5"/>
      <c r="L42" s="9">
        <f>IF(OR(B42&lt;&gt;"Yes",F42&lt;&gt;""),"",IF(G42&lt;&gt;"","Qualified",IF(E42="","",IF(E42&lt;=EDATE(TODAY(),IF(D42="Part time",-60,-24)),IF(H42&lt;&gt;"","Date passed, undertaking","Date passed, not started"),IF(H42&lt;&gt;"","Undertaking, in time","Due by "&amp;TEXT(EDATE(E42,24),"dd/mm/yyyy"))))))</f>
      </c>
    </row>
    <row r="43">
      <c r="A43" s="5"/>
      <c r="B43" s="7"/>
      <c r="C43" s="7"/>
      <c r="D43" s="7"/>
      <c r="E43" s="7"/>
      <c r="F43" s="7"/>
      <c r="G43" s="7"/>
      <c r="H43" s="7"/>
      <c r="I43" s="7"/>
      <c r="J43" s="7"/>
      <c r="K43" s="5"/>
      <c r="L43" s="9">
        <f>IF(OR(B43&lt;&gt;"Yes",F43&lt;&gt;""),"",IF(G43&lt;&gt;"","Qualified",IF(E43="","",IF(E43&lt;=EDATE(TODAY(),IF(D43="Part time",-60,-24)),IF(H43&lt;&gt;"","Date passed, undertaking","Date passed, not started"),IF(H43&lt;&gt;"","Undertaking, in time","Due by "&amp;TEXT(EDATE(E43,24),"dd/mm/yyyy"))))))</f>
      </c>
    </row>
    <row r="44">
      <c r="A44" s="5"/>
      <c r="B44" s="7"/>
      <c r="C44" s="7"/>
      <c r="D44" s="7"/>
      <c r="E44" s="7"/>
      <c r="F44" s="7"/>
      <c r="G44" s="7"/>
      <c r="H44" s="7"/>
      <c r="I44" s="7"/>
      <c r="J44" s="7"/>
      <c r="K44" s="5"/>
      <c r="L44" s="9">
        <f>IF(OR(B44&lt;&gt;"Yes",F44&lt;&gt;""),"",IF(G44&lt;&gt;"","Qualified",IF(E44="","",IF(E44&lt;=EDATE(TODAY(),IF(D44="Part time",-60,-24)),IF(H44&lt;&gt;"","Date passed, undertaking","Date passed, not started"),IF(H44&lt;&gt;"","Undertaking, in time","Due by "&amp;TEXT(EDATE(E44,24),"dd/mm/yyyy"))))))</f>
      </c>
    </row>
    <row r="45">
      <c r="A45" s="5"/>
      <c r="B45" s="7"/>
      <c r="C45" s="7"/>
      <c r="D45" s="7"/>
      <c r="E45" s="7"/>
      <c r="F45" s="7"/>
      <c r="G45" s="7"/>
      <c r="H45" s="7"/>
      <c r="I45" s="7"/>
      <c r="J45" s="7"/>
      <c r="K45" s="5"/>
      <c r="L45" s="9">
        <f>IF(OR(B45&lt;&gt;"Yes",F45&lt;&gt;""),"",IF(G45&lt;&gt;"","Qualified",IF(E45="","",IF(E45&lt;=EDATE(TODAY(),IF(D45="Part time",-60,-24)),IF(H45&lt;&gt;"","Date passed, undertaking","Date passed, not started"),IF(H45&lt;&gt;"","Undertaking, in time","Due by "&amp;TEXT(EDATE(E45,24),"dd/mm/yyyy"))))))</f>
      </c>
    </row>
  </sheetData>
  <mergeCells count="3">
    <mergeCell ref="A1:D1"/>
    <mergeCell ref="A2:L2"/>
    <mergeCell ref="A5:L5"/>
  </mergeCells>
  <conditionalFormatting sqref="J6:J45">
    <cfRule type="expression" dxfId="0" priority="1">
      <formula>AND(J6&lt;&gt;"",J6&lt;TODAY())</formula>
    </cfRule>
    <cfRule type="expression" dxfId="1" priority="2">
      <formula>AND(J6&lt;&gt;"",J6&lt;TODAY()+60)</formula>
    </cfRule>
    <cfRule type="expression" dxfId="2" priority="3">
      <formula>AND(J6&lt;&gt;"",J6&gt;=TODAY()+60)</formula>
    </cfRule>
  </conditionalFormatting>
  <conditionalFormatting sqref="L6:L45">
    <cfRule type="expression" dxfId="0" priority="4">
      <formula>L6="Date passed, not started"</formula>
    </cfRule>
    <cfRule type="expression" dxfId="1" priority="5">
      <formula>L6="Date passed, undertaking"</formula>
    </cfRule>
    <cfRule type="expression" dxfId="2" priority="6">
      <formula>L6="Qualified"</formula>
    </cfRule>
  </conditionalFormatting>
  <pageMargins left="0.4" right="0.4" top="0.5" bottom="0.5" header="0.3" footer="0.3"/>
  <pageSetup paperSize="9" orientation="landscape" fitToWidth="1" fitToHeight="0"/>
</worksheet>
</file>

<file path=xl/worksheets/sheet4.xml><?xml version="1.0" encoding="utf-8"?>
<worksheet xmlns="http://schemas.openxmlformats.org/spreadsheetml/2006/main">
  <sheetPr>
    <tabColor rgb="FF0D5C45"/>
    <pageSetUpPr fitToPage="1"/>
  </sheetPr>
  <sheetViews>
    <sheetView showGridLines="0" workbookViewId="0">
      <pane ySplit="5" topLeftCell="A6" activePane="bottomLeft" state="frozen"/>
    </sheetView>
  </sheetViews>
  <sheetFormatPr defaultRowHeight="15"/>
  <cols>
    <col min="1" max="1" width="12" customWidth="1"/>
    <col min="2" max="2" width="26" customWidth="1"/>
    <col min="3" max="3" width="22" customWidth="1"/>
    <col min="4" max="4" width="12" customWidth="1"/>
    <col min="5" max="5" width="30" customWidth="1"/>
  </cols>
  <sheetData>
    <row r="1" ht="24" customHeight="1">
      <c r="A1" s="1" t="inlineStr">
        <is>
          <t>Agency shifts</t>
        </is>
      </c>
    </row>
    <row r="2">
      <c r="A2" s="2" t="inlineStr">
        <is>
          <t>One line each time an agency or other non-permanent person covers a care shift. Ofsted asks for the number of times and the number of different people since the last full inspection; both count themselves on the Annex A tab.</t>
        </is>
      </c>
    </row>
    <row r="3"/>
    <row r="4" ht="30" customHeight="1">
      <c r="A4" s="4" t="inlineStr">
        <is>
          <t>Date</t>
        </is>
      </c>
      <c r="B4" s="4" t="inlineStr">
        <is>
          <t>Person</t>
        </is>
      </c>
      <c r="C4" s="4" t="inlineStr">
        <is>
          <t>Agency</t>
        </is>
      </c>
      <c r="D4" s="4" t="inlineStr">
        <is>
          <t>Shift</t>
        </is>
      </c>
      <c r="E4" s="4" t="inlineStr">
        <is>
          <t>Notes</t>
        </is>
      </c>
    </row>
    <row r="5">
      <c r="A5" s="6" t="inlineStr">
        <is>
          <t>Spell a person's name the same way each time; the count of different people relies on it.</t>
        </is>
      </c>
    </row>
    <row r="6">
      <c r="A6" s="11">
        <v>46251</v>
      </c>
      <c r="B6" s="8" t="inlineStr">
        <is>
          <t>Example, overtype or delete me</t>
        </is>
      </c>
      <c r="C6" s="5" t="inlineStr">
        <is>
          <t>Agency name</t>
        </is>
      </c>
      <c r="D6" s="5" t="inlineStr">
        <is>
          <t>Night</t>
        </is>
      </c>
      <c r="E6" s="5"/>
    </row>
    <row r="7">
      <c r="A7" s="7"/>
      <c r="B7" s="5"/>
      <c r="C7" s="5"/>
      <c r="D7" s="5"/>
      <c r="E7" s="5"/>
    </row>
    <row r="8">
      <c r="A8" s="7"/>
      <c r="B8" s="5"/>
      <c r="C8" s="5"/>
      <c r="D8" s="5"/>
      <c r="E8" s="5"/>
    </row>
    <row r="9">
      <c r="A9" s="7"/>
      <c r="B9" s="5"/>
      <c r="C9" s="5"/>
      <c r="D9" s="5"/>
      <c r="E9" s="5"/>
    </row>
    <row r="10">
      <c r="A10" s="7"/>
      <c r="B10" s="5"/>
      <c r="C10" s="5"/>
      <c r="D10" s="5"/>
      <c r="E10" s="5"/>
    </row>
    <row r="11">
      <c r="A11" s="7"/>
      <c r="B11" s="5"/>
      <c r="C11" s="5"/>
      <c r="D11" s="5"/>
      <c r="E11" s="5"/>
    </row>
    <row r="12">
      <c r="A12" s="7"/>
      <c r="B12" s="5"/>
      <c r="C12" s="5"/>
      <c r="D12" s="5"/>
      <c r="E12" s="5"/>
    </row>
    <row r="13">
      <c r="A13" s="7"/>
      <c r="B13" s="5"/>
      <c r="C13" s="5"/>
      <c r="D13" s="5"/>
      <c r="E13" s="5"/>
    </row>
    <row r="14">
      <c r="A14" s="7"/>
      <c r="B14" s="5"/>
      <c r="C14" s="5"/>
      <c r="D14" s="5"/>
      <c r="E14" s="5"/>
    </row>
    <row r="15">
      <c r="A15" s="7"/>
      <c r="B15" s="5"/>
      <c r="C15" s="5"/>
      <c r="D15" s="5"/>
      <c r="E15" s="5"/>
    </row>
    <row r="16">
      <c r="A16" s="7"/>
      <c r="B16" s="5"/>
      <c r="C16" s="5"/>
      <c r="D16" s="5"/>
      <c r="E16" s="5"/>
    </row>
    <row r="17">
      <c r="A17" s="7"/>
      <c r="B17" s="5"/>
      <c r="C17" s="5"/>
      <c r="D17" s="5"/>
      <c r="E17" s="5"/>
    </row>
    <row r="18">
      <c r="A18" s="7"/>
      <c r="B18" s="5"/>
      <c r="C18" s="5"/>
      <c r="D18" s="5"/>
      <c r="E18" s="5"/>
    </row>
    <row r="19">
      <c r="A19" s="7"/>
      <c r="B19" s="5"/>
      <c r="C19" s="5"/>
      <c r="D19" s="5"/>
      <c r="E19" s="5"/>
    </row>
    <row r="20">
      <c r="A20" s="7"/>
      <c r="B20" s="5"/>
      <c r="C20" s="5"/>
      <c r="D20" s="5"/>
      <c r="E20" s="5"/>
    </row>
    <row r="21">
      <c r="A21" s="7"/>
      <c r="B21" s="5"/>
      <c r="C21" s="5"/>
      <c r="D21" s="5"/>
      <c r="E21" s="5"/>
    </row>
    <row r="22">
      <c r="A22" s="7"/>
      <c r="B22" s="5"/>
      <c r="C22" s="5"/>
      <c r="D22" s="5"/>
      <c r="E22" s="5"/>
    </row>
    <row r="23">
      <c r="A23" s="7"/>
      <c r="B23" s="5"/>
      <c r="C23" s="5"/>
      <c r="D23" s="5"/>
      <c r="E23" s="5"/>
    </row>
    <row r="24">
      <c r="A24" s="7"/>
      <c r="B24" s="5"/>
      <c r="C24" s="5"/>
      <c r="D24" s="5"/>
      <c r="E24" s="5"/>
    </row>
    <row r="25">
      <c r="A25" s="7"/>
      <c r="B25" s="5"/>
      <c r="C25" s="5"/>
      <c r="D25" s="5"/>
      <c r="E25" s="5"/>
    </row>
    <row r="26">
      <c r="A26" s="7"/>
      <c r="B26" s="5"/>
      <c r="C26" s="5"/>
      <c r="D26" s="5"/>
      <c r="E26" s="5"/>
    </row>
    <row r="27">
      <c r="A27" s="7"/>
      <c r="B27" s="5"/>
      <c r="C27" s="5"/>
      <c r="D27" s="5"/>
      <c r="E27" s="5"/>
    </row>
    <row r="28">
      <c r="A28" s="7"/>
      <c r="B28" s="5"/>
      <c r="C28" s="5"/>
      <c r="D28" s="5"/>
      <c r="E28" s="5"/>
    </row>
    <row r="29">
      <c r="A29" s="7"/>
      <c r="B29" s="5"/>
      <c r="C29" s="5"/>
      <c r="D29" s="5"/>
      <c r="E29" s="5"/>
    </row>
    <row r="30">
      <c r="A30" s="7"/>
      <c r="B30" s="5"/>
      <c r="C30" s="5"/>
      <c r="D30" s="5"/>
      <c r="E30" s="5"/>
    </row>
    <row r="31">
      <c r="A31" s="7"/>
      <c r="B31" s="5"/>
      <c r="C31" s="5"/>
      <c r="D31" s="5"/>
      <c r="E31" s="5"/>
    </row>
    <row r="32">
      <c r="A32" s="7"/>
      <c r="B32" s="5"/>
      <c r="C32" s="5"/>
      <c r="D32" s="5"/>
      <c r="E32" s="5"/>
    </row>
    <row r="33">
      <c r="A33" s="7"/>
      <c r="B33" s="5"/>
      <c r="C33" s="5"/>
      <c r="D33" s="5"/>
      <c r="E33" s="5"/>
    </row>
    <row r="34">
      <c r="A34" s="7"/>
      <c r="B34" s="5"/>
      <c r="C34" s="5"/>
      <c r="D34" s="5"/>
      <c r="E34" s="5"/>
    </row>
    <row r="35">
      <c r="A35" s="7"/>
      <c r="B35" s="5"/>
      <c r="C35" s="5"/>
      <c r="D35" s="5"/>
      <c r="E35" s="5"/>
    </row>
    <row r="36">
      <c r="A36" s="7"/>
      <c r="B36" s="5"/>
      <c r="C36" s="5"/>
      <c r="D36" s="5"/>
      <c r="E36" s="5"/>
    </row>
    <row r="37">
      <c r="A37" s="7"/>
      <c r="B37" s="5"/>
      <c r="C37" s="5"/>
      <c r="D37" s="5"/>
      <c r="E37" s="5"/>
    </row>
    <row r="38">
      <c r="A38" s="7"/>
      <c r="B38" s="5"/>
      <c r="C38" s="5"/>
      <c r="D38" s="5"/>
      <c r="E38" s="5"/>
    </row>
    <row r="39">
      <c r="A39" s="7"/>
      <c r="B39" s="5"/>
      <c r="C39" s="5"/>
      <c r="D39" s="5"/>
      <c r="E39" s="5"/>
    </row>
    <row r="40">
      <c r="A40" s="7"/>
      <c r="B40" s="5"/>
      <c r="C40" s="5"/>
      <c r="D40" s="5"/>
      <c r="E40" s="5"/>
    </row>
    <row r="41">
      <c r="A41" s="7"/>
      <c r="B41" s="5"/>
      <c r="C41" s="5"/>
      <c r="D41" s="5"/>
      <c r="E41" s="5"/>
    </row>
    <row r="42">
      <c r="A42" s="7"/>
      <c r="B42" s="5"/>
      <c r="C42" s="5"/>
      <c r="D42" s="5"/>
      <c r="E42" s="5"/>
    </row>
    <row r="43">
      <c r="A43" s="7"/>
      <c r="B43" s="5"/>
      <c r="C43" s="5"/>
      <c r="D43" s="5"/>
      <c r="E43" s="5"/>
    </row>
    <row r="44">
      <c r="A44" s="7"/>
      <c r="B44" s="5"/>
      <c r="C44" s="5"/>
      <c r="D44" s="5"/>
      <c r="E44" s="5"/>
    </row>
    <row r="45">
      <c r="A45" s="7"/>
      <c r="B45" s="5"/>
      <c r="C45" s="5"/>
      <c r="D45" s="5"/>
      <c r="E45" s="5"/>
    </row>
    <row r="46">
      <c r="A46" s="7"/>
      <c r="B46" s="5"/>
      <c r="C46" s="5"/>
      <c r="D46" s="5"/>
      <c r="E46" s="5"/>
    </row>
    <row r="47">
      <c r="A47" s="7"/>
      <c r="B47" s="5"/>
      <c r="C47" s="5"/>
      <c r="D47" s="5"/>
      <c r="E47" s="5"/>
    </row>
    <row r="48">
      <c r="A48" s="7"/>
      <c r="B48" s="5"/>
      <c r="C48" s="5"/>
      <c r="D48" s="5"/>
      <c r="E48" s="5"/>
    </row>
    <row r="49">
      <c r="A49" s="7"/>
      <c r="B49" s="5"/>
      <c r="C49" s="5"/>
      <c r="D49" s="5"/>
      <c r="E49" s="5"/>
    </row>
    <row r="50">
      <c r="A50" s="7"/>
      <c r="B50" s="5"/>
      <c r="C50" s="5"/>
      <c r="D50" s="5"/>
      <c r="E50" s="5"/>
    </row>
    <row r="51">
      <c r="A51" s="7"/>
      <c r="B51" s="5"/>
      <c r="C51" s="5"/>
      <c r="D51" s="5"/>
      <c r="E51" s="5"/>
    </row>
    <row r="52">
      <c r="A52" s="7"/>
      <c r="B52" s="5"/>
      <c r="C52" s="5"/>
      <c r="D52" s="5"/>
      <c r="E52" s="5"/>
    </row>
    <row r="53">
      <c r="A53" s="7"/>
      <c r="B53" s="5"/>
      <c r="C53" s="5"/>
      <c r="D53" s="5"/>
      <c r="E53" s="5"/>
    </row>
    <row r="54">
      <c r="A54" s="7"/>
      <c r="B54" s="5"/>
      <c r="C54" s="5"/>
      <c r="D54" s="5"/>
      <c r="E54" s="5"/>
    </row>
    <row r="55">
      <c r="A55" s="7"/>
      <c r="B55" s="5"/>
      <c r="C55" s="5"/>
      <c r="D55" s="5"/>
      <c r="E55" s="5"/>
    </row>
    <row r="56">
      <c r="A56" s="7"/>
      <c r="B56" s="5"/>
      <c r="C56" s="5"/>
      <c r="D56" s="5"/>
      <c r="E56" s="5"/>
    </row>
    <row r="57">
      <c r="A57" s="7"/>
      <c r="B57" s="5"/>
      <c r="C57" s="5"/>
      <c r="D57" s="5"/>
      <c r="E57" s="5"/>
    </row>
    <row r="58">
      <c r="A58" s="7"/>
      <c r="B58" s="5"/>
      <c r="C58" s="5"/>
      <c r="D58" s="5"/>
      <c r="E58" s="5"/>
    </row>
    <row r="59">
      <c r="A59" s="7"/>
      <c r="B59" s="5"/>
      <c r="C59" s="5"/>
      <c r="D59" s="5"/>
      <c r="E59" s="5"/>
    </row>
    <row r="60">
      <c r="A60" s="7"/>
      <c r="B60" s="5"/>
      <c r="C60" s="5"/>
      <c r="D60" s="5"/>
      <c r="E60" s="5"/>
    </row>
    <row r="61">
      <c r="A61" s="7"/>
      <c r="B61" s="5"/>
      <c r="C61" s="5"/>
      <c r="D61" s="5"/>
      <c r="E61" s="5"/>
    </row>
    <row r="62">
      <c r="A62" s="7"/>
      <c r="B62" s="5"/>
      <c r="C62" s="5"/>
      <c r="D62" s="5"/>
      <c r="E62" s="5"/>
    </row>
    <row r="63">
      <c r="A63" s="7"/>
      <c r="B63" s="5"/>
      <c r="C63" s="5"/>
      <c r="D63" s="5"/>
      <c r="E63" s="5"/>
    </row>
    <row r="64">
      <c r="A64" s="7"/>
      <c r="B64" s="5"/>
      <c r="C64" s="5"/>
      <c r="D64" s="5"/>
      <c r="E64" s="5"/>
    </row>
    <row r="65">
      <c r="A65" s="7"/>
      <c r="B65" s="5"/>
      <c r="C65" s="5"/>
      <c r="D65" s="5"/>
      <c r="E65" s="5"/>
    </row>
    <row r="66">
      <c r="A66" s="7"/>
      <c r="B66" s="5"/>
      <c r="C66" s="5"/>
      <c r="D66" s="5"/>
      <c r="E66" s="5"/>
    </row>
    <row r="67">
      <c r="A67" s="7"/>
      <c r="B67" s="5"/>
      <c r="C67" s="5"/>
      <c r="D67" s="5"/>
      <c r="E67" s="5"/>
    </row>
    <row r="68">
      <c r="A68" s="7"/>
      <c r="B68" s="5"/>
      <c r="C68" s="5"/>
      <c r="D68" s="5"/>
      <c r="E68" s="5"/>
    </row>
    <row r="69">
      <c r="A69" s="7"/>
      <c r="B69" s="5"/>
      <c r="C69" s="5"/>
      <c r="D69" s="5"/>
      <c r="E69" s="5"/>
    </row>
    <row r="70">
      <c r="A70" s="7"/>
      <c r="B70" s="5"/>
      <c r="C70" s="5"/>
      <c r="D70" s="5"/>
      <c r="E70" s="5"/>
    </row>
    <row r="71">
      <c r="A71" s="7"/>
      <c r="B71" s="5"/>
      <c r="C71" s="5"/>
      <c r="D71" s="5"/>
      <c r="E71" s="5"/>
    </row>
    <row r="72">
      <c r="A72" s="7"/>
      <c r="B72" s="5"/>
      <c r="C72" s="5"/>
      <c r="D72" s="5"/>
      <c r="E72" s="5"/>
    </row>
    <row r="73">
      <c r="A73" s="7"/>
      <c r="B73" s="5"/>
      <c r="C73" s="5"/>
      <c r="D73" s="5"/>
      <c r="E73" s="5"/>
    </row>
    <row r="74">
      <c r="A74" s="7"/>
      <c r="B74" s="5"/>
      <c r="C74" s="5"/>
      <c r="D74" s="5"/>
      <c r="E74" s="5"/>
    </row>
    <row r="75">
      <c r="A75" s="7"/>
      <c r="B75" s="5"/>
      <c r="C75" s="5"/>
      <c r="D75" s="5"/>
      <c r="E75" s="5"/>
    </row>
    <row r="76">
      <c r="A76" s="7"/>
      <c r="B76" s="5"/>
      <c r="C76" s="5"/>
      <c r="D76" s="5"/>
      <c r="E76" s="5"/>
    </row>
    <row r="77">
      <c r="A77" s="7"/>
      <c r="B77" s="5"/>
      <c r="C77" s="5"/>
      <c r="D77" s="5"/>
      <c r="E77" s="5"/>
    </row>
    <row r="78">
      <c r="A78" s="7"/>
      <c r="B78" s="5"/>
      <c r="C78" s="5"/>
      <c r="D78" s="5"/>
      <c r="E78" s="5"/>
    </row>
    <row r="79">
      <c r="A79" s="7"/>
      <c r="B79" s="5"/>
      <c r="C79" s="5"/>
      <c r="D79" s="5"/>
      <c r="E79" s="5"/>
    </row>
    <row r="80">
      <c r="A80" s="7"/>
      <c r="B80" s="5"/>
      <c r="C80" s="5"/>
      <c r="D80" s="5"/>
      <c r="E80" s="5"/>
    </row>
    <row r="81">
      <c r="A81" s="7"/>
      <c r="B81" s="5"/>
      <c r="C81" s="5"/>
      <c r="D81" s="5"/>
      <c r="E81" s="5"/>
    </row>
    <row r="82">
      <c r="A82" s="7"/>
      <c r="B82" s="5"/>
      <c r="C82" s="5"/>
      <c r="D82" s="5"/>
      <c r="E82" s="5"/>
    </row>
    <row r="83">
      <c r="A83" s="7"/>
      <c r="B83" s="5"/>
      <c r="C83" s="5"/>
      <c r="D83" s="5"/>
      <c r="E83" s="5"/>
    </row>
    <row r="84">
      <c r="A84" s="7"/>
      <c r="B84" s="5"/>
      <c r="C84" s="5"/>
      <c r="D84" s="5"/>
      <c r="E84" s="5"/>
    </row>
    <row r="85">
      <c r="A85" s="7"/>
      <c r="B85" s="5"/>
      <c r="C85" s="5"/>
      <c r="D85" s="5"/>
      <c r="E85" s="5"/>
    </row>
    <row r="86">
      <c r="A86" s="7"/>
      <c r="B86" s="5"/>
      <c r="C86" s="5"/>
      <c r="D86" s="5"/>
      <c r="E86" s="5"/>
    </row>
    <row r="87">
      <c r="A87" s="7"/>
      <c r="B87" s="5"/>
      <c r="C87" s="5"/>
      <c r="D87" s="5"/>
      <c r="E87" s="5"/>
    </row>
    <row r="88">
      <c r="A88" s="7"/>
      <c r="B88" s="5"/>
      <c r="C88" s="5"/>
      <c r="D88" s="5"/>
      <c r="E88" s="5"/>
    </row>
    <row r="89">
      <c r="A89" s="7"/>
      <c r="B89" s="5"/>
      <c r="C89" s="5"/>
      <c r="D89" s="5"/>
      <c r="E89" s="5"/>
    </row>
    <row r="90">
      <c r="A90" s="7"/>
      <c r="B90" s="5"/>
      <c r="C90" s="5"/>
      <c r="D90" s="5"/>
      <c r="E90" s="5"/>
    </row>
    <row r="91">
      <c r="A91" s="7"/>
      <c r="B91" s="5"/>
      <c r="C91" s="5"/>
      <c r="D91" s="5"/>
      <c r="E91" s="5"/>
    </row>
    <row r="92">
      <c r="A92" s="7"/>
      <c r="B92" s="5"/>
      <c r="C92" s="5"/>
      <c r="D92" s="5"/>
      <c r="E92" s="5"/>
    </row>
    <row r="93">
      <c r="A93" s="7"/>
      <c r="B93" s="5"/>
      <c r="C93" s="5"/>
      <c r="D93" s="5"/>
      <c r="E93" s="5"/>
    </row>
    <row r="94">
      <c r="A94" s="7"/>
      <c r="B94" s="5"/>
      <c r="C94" s="5"/>
      <c r="D94" s="5"/>
      <c r="E94" s="5"/>
    </row>
    <row r="95">
      <c r="A95" s="7"/>
      <c r="B95" s="5"/>
      <c r="C95" s="5"/>
      <c r="D95" s="5"/>
      <c r="E95" s="5"/>
    </row>
    <row r="96">
      <c r="A96" s="7"/>
      <c r="B96" s="5"/>
      <c r="C96" s="5"/>
      <c r="D96" s="5"/>
      <c r="E96" s="5"/>
    </row>
    <row r="97">
      <c r="A97" s="7"/>
      <c r="B97" s="5"/>
      <c r="C97" s="5"/>
      <c r="D97" s="5"/>
      <c r="E97" s="5"/>
    </row>
    <row r="98">
      <c r="A98" s="7"/>
      <c r="B98" s="5"/>
      <c r="C98" s="5"/>
      <c r="D98" s="5"/>
      <c r="E98" s="5"/>
    </row>
    <row r="99">
      <c r="A99" s="7"/>
      <c r="B99" s="5"/>
      <c r="C99" s="5"/>
      <c r="D99" s="5"/>
      <c r="E99" s="5"/>
    </row>
    <row r="100">
      <c r="A100" s="7"/>
      <c r="B100" s="5"/>
      <c r="C100" s="5"/>
      <c r="D100" s="5"/>
      <c r="E100" s="5"/>
    </row>
    <row r="101">
      <c r="A101" s="7"/>
      <c r="B101" s="5"/>
      <c r="C101" s="5"/>
      <c r="D101" s="5"/>
      <c r="E101" s="5"/>
    </row>
    <row r="102">
      <c r="A102" s="7"/>
      <c r="B102" s="5"/>
      <c r="C102" s="5"/>
      <c r="D102" s="5"/>
      <c r="E102" s="5"/>
    </row>
    <row r="103">
      <c r="A103" s="7"/>
      <c r="B103" s="5"/>
      <c r="C103" s="5"/>
      <c r="D103" s="5"/>
      <c r="E103" s="5"/>
    </row>
    <row r="104">
      <c r="A104" s="7"/>
      <c r="B104" s="5"/>
      <c r="C104" s="5"/>
      <c r="D104" s="5"/>
      <c r="E104" s="5"/>
    </row>
    <row r="105">
      <c r="A105" s="7"/>
      <c r="B105" s="5"/>
      <c r="C105" s="5"/>
      <c r="D105" s="5"/>
      <c r="E105" s="5"/>
    </row>
    <row r="106">
      <c r="A106" s="7"/>
      <c r="B106" s="5"/>
      <c r="C106" s="5"/>
      <c r="D106" s="5"/>
      <c r="E106" s="5"/>
    </row>
    <row r="107">
      <c r="A107" s="7"/>
      <c r="B107" s="5"/>
      <c r="C107" s="5"/>
      <c r="D107" s="5"/>
      <c r="E107" s="5"/>
    </row>
    <row r="108">
      <c r="A108" s="7"/>
      <c r="B108" s="5"/>
      <c r="C108" s="5"/>
      <c r="D108" s="5"/>
      <c r="E108" s="5"/>
    </row>
    <row r="109">
      <c r="A109" s="7"/>
      <c r="B109" s="5"/>
      <c r="C109" s="5"/>
      <c r="D109" s="5"/>
      <c r="E109" s="5"/>
    </row>
    <row r="110">
      <c r="A110" s="7"/>
      <c r="B110" s="5"/>
      <c r="C110" s="5"/>
      <c r="D110" s="5"/>
      <c r="E110" s="5"/>
    </row>
    <row r="111">
      <c r="A111" s="7"/>
      <c r="B111" s="5"/>
      <c r="C111" s="5"/>
      <c r="D111" s="5"/>
      <c r="E111" s="5"/>
    </row>
    <row r="112">
      <c r="A112" s="7"/>
      <c r="B112" s="5"/>
      <c r="C112" s="5"/>
      <c r="D112" s="5"/>
      <c r="E112" s="5"/>
    </row>
    <row r="113">
      <c r="A113" s="7"/>
      <c r="B113" s="5"/>
      <c r="C113" s="5"/>
      <c r="D113" s="5"/>
      <c r="E113" s="5"/>
    </row>
    <row r="114">
      <c r="A114" s="7"/>
      <c r="B114" s="5"/>
      <c r="C114" s="5"/>
      <c r="D114" s="5"/>
      <c r="E114" s="5"/>
    </row>
    <row r="115">
      <c r="A115" s="7"/>
      <c r="B115" s="5"/>
      <c r="C115" s="5"/>
      <c r="D115" s="5"/>
      <c r="E115" s="5"/>
    </row>
    <row r="116">
      <c r="A116" s="7"/>
      <c r="B116" s="5"/>
      <c r="C116" s="5"/>
      <c r="D116" s="5"/>
      <c r="E116" s="5"/>
    </row>
    <row r="117">
      <c r="A117" s="7"/>
      <c r="B117" s="5"/>
      <c r="C117" s="5"/>
      <c r="D117" s="5"/>
      <c r="E117" s="5"/>
    </row>
    <row r="118">
      <c r="A118" s="7"/>
      <c r="B118" s="5"/>
      <c r="C118" s="5"/>
      <c r="D118" s="5"/>
      <c r="E118" s="5"/>
    </row>
    <row r="119">
      <c r="A119" s="7"/>
      <c r="B119" s="5"/>
      <c r="C119" s="5"/>
      <c r="D119" s="5"/>
      <c r="E119" s="5"/>
    </row>
    <row r="120">
      <c r="A120" s="7"/>
      <c r="B120" s="5"/>
      <c r="C120" s="5"/>
      <c r="D120" s="5"/>
      <c r="E120" s="5"/>
    </row>
    <row r="121">
      <c r="A121" s="7"/>
      <c r="B121" s="5"/>
      <c r="C121" s="5"/>
      <c r="D121" s="5"/>
      <c r="E121" s="5"/>
    </row>
    <row r="122">
      <c r="A122" s="7"/>
      <c r="B122" s="5"/>
      <c r="C122" s="5"/>
      <c r="D122" s="5"/>
      <c r="E122" s="5"/>
    </row>
    <row r="123">
      <c r="A123" s="7"/>
      <c r="B123" s="5"/>
      <c r="C123" s="5"/>
      <c r="D123" s="5"/>
      <c r="E123" s="5"/>
    </row>
    <row r="124">
      <c r="A124" s="7"/>
      <c r="B124" s="5"/>
      <c r="C124" s="5"/>
      <c r="D124" s="5"/>
      <c r="E124" s="5"/>
    </row>
    <row r="125">
      <c r="A125" s="7"/>
      <c r="B125" s="5"/>
      <c r="C125" s="5"/>
      <c r="D125" s="5"/>
      <c r="E125" s="5"/>
    </row>
    <row r="126">
      <c r="A126" s="7"/>
      <c r="B126" s="5"/>
      <c r="C126" s="5"/>
      <c r="D126" s="5"/>
      <c r="E126" s="5"/>
    </row>
    <row r="127">
      <c r="A127" s="7"/>
      <c r="B127" s="5"/>
      <c r="C127" s="5"/>
      <c r="D127" s="5"/>
      <c r="E127" s="5"/>
    </row>
    <row r="128">
      <c r="A128" s="7"/>
      <c r="B128" s="5"/>
      <c r="C128" s="5"/>
      <c r="D128" s="5"/>
      <c r="E128" s="5"/>
    </row>
    <row r="129">
      <c r="A129" s="7"/>
      <c r="B129" s="5"/>
      <c r="C129" s="5"/>
      <c r="D129" s="5"/>
      <c r="E129" s="5"/>
    </row>
    <row r="130">
      <c r="A130" s="7"/>
      <c r="B130" s="5"/>
      <c r="C130" s="5"/>
      <c r="D130" s="5"/>
      <c r="E130" s="5"/>
    </row>
    <row r="131">
      <c r="A131" s="7"/>
      <c r="B131" s="5"/>
      <c r="C131" s="5"/>
      <c r="D131" s="5"/>
      <c r="E131" s="5"/>
    </row>
    <row r="132">
      <c r="A132" s="7"/>
      <c r="B132" s="5"/>
      <c r="C132" s="5"/>
      <c r="D132" s="5"/>
      <c r="E132" s="5"/>
    </row>
    <row r="133">
      <c r="A133" s="7"/>
      <c r="B133" s="5"/>
      <c r="C133" s="5"/>
      <c r="D133" s="5"/>
      <c r="E133" s="5"/>
    </row>
    <row r="134">
      <c r="A134" s="7"/>
      <c r="B134" s="5"/>
      <c r="C134" s="5"/>
      <c r="D134" s="5"/>
      <c r="E134" s="5"/>
    </row>
    <row r="135">
      <c r="A135" s="7"/>
      <c r="B135" s="5"/>
      <c r="C135" s="5"/>
      <c r="D135" s="5"/>
      <c r="E135" s="5"/>
    </row>
    <row r="136">
      <c r="A136" s="7"/>
      <c r="B136" s="5"/>
      <c r="C136" s="5"/>
      <c r="D136" s="5"/>
      <c r="E136" s="5"/>
    </row>
    <row r="137">
      <c r="A137" s="7"/>
      <c r="B137" s="5"/>
      <c r="C137" s="5"/>
      <c r="D137" s="5"/>
      <c r="E137" s="5"/>
    </row>
    <row r="138">
      <c r="A138" s="7"/>
      <c r="B138" s="5"/>
      <c r="C138" s="5"/>
      <c r="D138" s="5"/>
      <c r="E138" s="5"/>
    </row>
    <row r="139">
      <c r="A139" s="7"/>
      <c r="B139" s="5"/>
      <c r="C139" s="5"/>
      <c r="D139" s="5"/>
      <c r="E139" s="5"/>
    </row>
    <row r="140">
      <c r="A140" s="7"/>
      <c r="B140" s="5"/>
      <c r="C140" s="5"/>
      <c r="D140" s="5"/>
      <c r="E140" s="5"/>
    </row>
    <row r="141">
      <c r="A141" s="7"/>
      <c r="B141" s="5"/>
      <c r="C141" s="5"/>
      <c r="D141" s="5"/>
      <c r="E141" s="5"/>
    </row>
    <row r="142">
      <c r="A142" s="7"/>
      <c r="B142" s="5"/>
      <c r="C142" s="5"/>
      <c r="D142" s="5"/>
      <c r="E142" s="5"/>
    </row>
    <row r="143">
      <c r="A143" s="7"/>
      <c r="B143" s="5"/>
      <c r="C143" s="5"/>
      <c r="D143" s="5"/>
      <c r="E143" s="5"/>
    </row>
    <row r="144">
      <c r="A144" s="7"/>
      <c r="B144" s="5"/>
      <c r="C144" s="5"/>
      <c r="D144" s="5"/>
      <c r="E144" s="5"/>
    </row>
    <row r="145">
      <c r="A145" s="7"/>
      <c r="B145" s="5"/>
      <c r="C145" s="5"/>
      <c r="D145" s="5"/>
      <c r="E145" s="5"/>
    </row>
    <row r="146">
      <c r="A146" s="7"/>
      <c r="B146" s="5"/>
      <c r="C146" s="5"/>
      <c r="D146" s="5"/>
      <c r="E146" s="5"/>
    </row>
    <row r="147">
      <c r="A147" s="7"/>
      <c r="B147" s="5"/>
      <c r="C147" s="5"/>
      <c r="D147" s="5"/>
      <c r="E147" s="5"/>
    </row>
    <row r="148">
      <c r="A148" s="7"/>
      <c r="B148" s="5"/>
      <c r="C148" s="5"/>
      <c r="D148" s="5"/>
      <c r="E148" s="5"/>
    </row>
    <row r="149">
      <c r="A149" s="7"/>
      <c r="B149" s="5"/>
      <c r="C149" s="5"/>
      <c r="D149" s="5"/>
      <c r="E149" s="5"/>
    </row>
    <row r="150">
      <c r="A150" s="7"/>
      <c r="B150" s="5"/>
      <c r="C150" s="5"/>
      <c r="D150" s="5"/>
      <c r="E150" s="5"/>
    </row>
    <row r="151">
      <c r="A151" s="7"/>
      <c r="B151" s="5"/>
      <c r="C151" s="5"/>
      <c r="D151" s="5"/>
      <c r="E151" s="5"/>
    </row>
    <row r="152">
      <c r="A152" s="7"/>
      <c r="B152" s="5"/>
      <c r="C152" s="5"/>
      <c r="D152" s="5"/>
      <c r="E152" s="5"/>
    </row>
    <row r="153">
      <c r="A153" s="7"/>
      <c r="B153" s="5"/>
      <c r="C153" s="5"/>
      <c r="D153" s="5"/>
      <c r="E153" s="5"/>
    </row>
    <row r="154">
      <c r="A154" s="7"/>
      <c r="B154" s="5"/>
      <c r="C154" s="5"/>
      <c r="D154" s="5"/>
      <c r="E154" s="5"/>
    </row>
    <row r="155">
      <c r="A155" s="7"/>
      <c r="B155" s="5"/>
      <c r="C155" s="5"/>
      <c r="D155" s="5"/>
      <c r="E155" s="5"/>
    </row>
    <row r="156">
      <c r="A156" s="7"/>
      <c r="B156" s="5"/>
      <c r="C156" s="5"/>
      <c r="D156" s="5"/>
      <c r="E156" s="5"/>
    </row>
    <row r="157">
      <c r="A157" s="7"/>
      <c r="B157" s="5"/>
      <c r="C157" s="5"/>
      <c r="D157" s="5"/>
      <c r="E157" s="5"/>
    </row>
    <row r="158">
      <c r="A158" s="7"/>
      <c r="B158" s="5"/>
      <c r="C158" s="5"/>
      <c r="D158" s="5"/>
      <c r="E158" s="5"/>
    </row>
    <row r="159">
      <c r="A159" s="7"/>
      <c r="B159" s="5"/>
      <c r="C159" s="5"/>
      <c r="D159" s="5"/>
      <c r="E159" s="5"/>
    </row>
    <row r="160">
      <c r="A160" s="7"/>
      <c r="B160" s="5"/>
      <c r="C160" s="5"/>
      <c r="D160" s="5"/>
      <c r="E160" s="5"/>
    </row>
    <row r="161">
      <c r="A161" s="7"/>
      <c r="B161" s="5"/>
      <c r="C161" s="5"/>
      <c r="D161" s="5"/>
      <c r="E161" s="5"/>
    </row>
    <row r="162">
      <c r="A162" s="7"/>
      <c r="B162" s="5"/>
      <c r="C162" s="5"/>
      <c r="D162" s="5"/>
      <c r="E162" s="5"/>
    </row>
    <row r="163">
      <c r="A163" s="7"/>
      <c r="B163" s="5"/>
      <c r="C163" s="5"/>
      <c r="D163" s="5"/>
      <c r="E163" s="5"/>
    </row>
    <row r="164">
      <c r="A164" s="7"/>
      <c r="B164" s="5"/>
      <c r="C164" s="5"/>
      <c r="D164" s="5"/>
      <c r="E164" s="5"/>
    </row>
    <row r="165">
      <c r="A165" s="7"/>
      <c r="B165" s="5"/>
      <c r="C165" s="5"/>
      <c r="D165" s="5"/>
      <c r="E165" s="5"/>
    </row>
    <row r="166">
      <c r="A166" s="7"/>
      <c r="B166" s="5"/>
      <c r="C166" s="5"/>
      <c r="D166" s="5"/>
      <c r="E166" s="5"/>
    </row>
    <row r="167">
      <c r="A167" s="7"/>
      <c r="B167" s="5"/>
      <c r="C167" s="5"/>
      <c r="D167" s="5"/>
      <c r="E167" s="5"/>
    </row>
    <row r="168">
      <c r="A168" s="7"/>
      <c r="B168" s="5"/>
      <c r="C168" s="5"/>
      <c r="D168" s="5"/>
      <c r="E168" s="5"/>
    </row>
    <row r="169">
      <c r="A169" s="7"/>
      <c r="B169" s="5"/>
      <c r="C169" s="5"/>
      <c r="D169" s="5"/>
      <c r="E169" s="5"/>
    </row>
    <row r="170">
      <c r="A170" s="7"/>
      <c r="B170" s="5"/>
      <c r="C170" s="5"/>
      <c r="D170" s="5"/>
      <c r="E170" s="5"/>
    </row>
    <row r="171">
      <c r="A171" s="7"/>
      <c r="B171" s="5"/>
      <c r="C171" s="5"/>
      <c r="D171" s="5"/>
      <c r="E171" s="5"/>
    </row>
    <row r="172">
      <c r="A172" s="7"/>
      <c r="B172" s="5"/>
      <c r="C172" s="5"/>
      <c r="D172" s="5"/>
      <c r="E172" s="5"/>
    </row>
    <row r="173">
      <c r="A173" s="7"/>
      <c r="B173" s="5"/>
      <c r="C173" s="5"/>
      <c r="D173" s="5"/>
      <c r="E173" s="5"/>
    </row>
    <row r="174">
      <c r="A174" s="7"/>
      <c r="B174" s="5"/>
      <c r="C174" s="5"/>
      <c r="D174" s="5"/>
      <c r="E174" s="5"/>
    </row>
    <row r="175">
      <c r="A175" s="7"/>
      <c r="B175" s="5"/>
      <c r="C175" s="5"/>
      <c r="D175" s="5"/>
      <c r="E175" s="5"/>
    </row>
    <row r="176">
      <c r="A176" s="7"/>
      <c r="B176" s="5"/>
      <c r="C176" s="5"/>
      <c r="D176" s="5"/>
      <c r="E176" s="5"/>
    </row>
    <row r="177">
      <c r="A177" s="7"/>
      <c r="B177" s="5"/>
      <c r="C177" s="5"/>
      <c r="D177" s="5"/>
      <c r="E177" s="5"/>
    </row>
    <row r="178">
      <c r="A178" s="7"/>
      <c r="B178" s="5"/>
      <c r="C178" s="5"/>
      <c r="D178" s="5"/>
      <c r="E178" s="5"/>
    </row>
    <row r="179">
      <c r="A179" s="7"/>
      <c r="B179" s="5"/>
      <c r="C179" s="5"/>
      <c r="D179" s="5"/>
      <c r="E179" s="5"/>
    </row>
    <row r="180">
      <c r="A180" s="7"/>
      <c r="B180" s="5"/>
      <c r="C180" s="5"/>
      <c r="D180" s="5"/>
      <c r="E180" s="5"/>
    </row>
    <row r="181">
      <c r="A181" s="7"/>
      <c r="B181" s="5"/>
      <c r="C181" s="5"/>
      <c r="D181" s="5"/>
      <c r="E181" s="5"/>
    </row>
    <row r="182">
      <c r="A182" s="7"/>
      <c r="B182" s="5"/>
      <c r="C182" s="5"/>
      <c r="D182" s="5"/>
      <c r="E182" s="5"/>
    </row>
    <row r="183">
      <c r="A183" s="7"/>
      <c r="B183" s="5"/>
      <c r="C183" s="5"/>
      <c r="D183" s="5"/>
      <c r="E183" s="5"/>
    </row>
    <row r="184">
      <c r="A184" s="7"/>
      <c r="B184" s="5"/>
      <c r="C184" s="5"/>
      <c r="D184" s="5"/>
      <c r="E184" s="5"/>
    </row>
    <row r="185">
      <c r="A185" s="7"/>
      <c r="B185" s="5"/>
      <c r="C185" s="5"/>
      <c r="D185" s="5"/>
      <c r="E185" s="5"/>
    </row>
    <row r="186">
      <c r="A186" s="7"/>
      <c r="B186" s="5"/>
      <c r="C186" s="5"/>
      <c r="D186" s="5"/>
      <c r="E186" s="5"/>
    </row>
    <row r="187">
      <c r="A187" s="7"/>
      <c r="B187" s="5"/>
      <c r="C187" s="5"/>
      <c r="D187" s="5"/>
      <c r="E187" s="5"/>
    </row>
    <row r="188">
      <c r="A188" s="7"/>
      <c r="B188" s="5"/>
      <c r="C188" s="5"/>
      <c r="D188" s="5"/>
      <c r="E188" s="5"/>
    </row>
    <row r="189">
      <c r="A189" s="7"/>
      <c r="B189" s="5"/>
      <c r="C189" s="5"/>
      <c r="D189" s="5"/>
      <c r="E189" s="5"/>
    </row>
    <row r="190">
      <c r="A190" s="7"/>
      <c r="B190" s="5"/>
      <c r="C190" s="5"/>
      <c r="D190" s="5"/>
      <c r="E190" s="5"/>
    </row>
    <row r="191">
      <c r="A191" s="7"/>
      <c r="B191" s="5"/>
      <c r="C191" s="5"/>
      <c r="D191" s="5"/>
      <c r="E191" s="5"/>
    </row>
    <row r="192">
      <c r="A192" s="7"/>
      <c r="B192" s="5"/>
      <c r="C192" s="5"/>
      <c r="D192" s="5"/>
      <c r="E192" s="5"/>
    </row>
    <row r="193">
      <c r="A193" s="7"/>
      <c r="B193" s="5"/>
      <c r="C193" s="5"/>
      <c r="D193" s="5"/>
      <c r="E193" s="5"/>
    </row>
    <row r="194">
      <c r="A194" s="7"/>
      <c r="B194" s="5"/>
      <c r="C194" s="5"/>
      <c r="D194" s="5"/>
      <c r="E194" s="5"/>
    </row>
    <row r="195">
      <c r="A195" s="7"/>
      <c r="B195" s="5"/>
      <c r="C195" s="5"/>
      <c r="D195" s="5"/>
      <c r="E195" s="5"/>
    </row>
    <row r="196">
      <c r="A196" s="7"/>
      <c r="B196" s="5"/>
      <c r="C196" s="5"/>
      <c r="D196" s="5"/>
      <c r="E196" s="5"/>
    </row>
    <row r="197">
      <c r="A197" s="7"/>
      <c r="B197" s="5"/>
      <c r="C197" s="5"/>
      <c r="D197" s="5"/>
      <c r="E197" s="5"/>
    </row>
    <row r="198">
      <c r="A198" s="7"/>
      <c r="B198" s="5"/>
      <c r="C198" s="5"/>
      <c r="D198" s="5"/>
      <c r="E198" s="5"/>
    </row>
    <row r="199">
      <c r="A199" s="7"/>
      <c r="B199" s="5"/>
      <c r="C199" s="5"/>
      <c r="D199" s="5"/>
      <c r="E199" s="5"/>
    </row>
    <row r="200">
      <c r="A200" s="7"/>
      <c r="B200" s="5"/>
      <c r="C200" s="5"/>
      <c r="D200" s="5"/>
      <c r="E200" s="5"/>
    </row>
    <row r="201">
      <c r="A201" s="7"/>
      <c r="B201" s="5"/>
      <c r="C201" s="5"/>
      <c r="D201" s="5"/>
      <c r="E201" s="5"/>
    </row>
    <row r="202">
      <c r="A202" s="7"/>
      <c r="B202" s="5"/>
      <c r="C202" s="5"/>
      <c r="D202" s="5"/>
      <c r="E202" s="5"/>
    </row>
    <row r="203">
      <c r="A203" s="7"/>
      <c r="B203" s="5"/>
      <c r="C203" s="5"/>
      <c r="D203" s="5"/>
      <c r="E203" s="5"/>
    </row>
    <row r="204">
      <c r="A204" s="7"/>
      <c r="B204" s="5"/>
      <c r="C204" s="5"/>
      <c r="D204" s="5"/>
      <c r="E204" s="5"/>
    </row>
    <row r="205">
      <c r="A205" s="7"/>
      <c r="B205" s="5"/>
      <c r="C205" s="5"/>
      <c r="D205" s="5"/>
      <c r="E205" s="5"/>
    </row>
  </sheetData>
  <mergeCells count="3">
    <mergeCell ref="A1:C1"/>
    <mergeCell ref="A2:E2"/>
    <mergeCell ref="A5:E5"/>
  </mergeCells>
  <pageMargins left="0.4" right="0.4" top="0.5" bottom="0.5" header="0.3" footer="0.3"/>
  <pageSetup paperSize="9" orientation="portrait" fitToWidth="1" fitToHeight="0"/>
</worksheet>
</file>

<file path=xl/worksheets/sheet5.xml><?xml version="1.0" encoding="utf-8"?>
<worksheet xmlns="http://schemas.openxmlformats.org/spreadsheetml/2006/main">
  <sheetPr>
    <tabColor rgb="FF0D5C45"/>
    <pageSetUpPr fitToPage="1"/>
  </sheetPr>
  <sheetViews>
    <sheetView showGridLines="0" workbookViewId="0">
      <pane ySplit="5" topLeftCell="A6" activePane="bottomLeft" state="frozen"/>
    </sheetView>
  </sheetViews>
  <sheetFormatPr defaultRowHeight="15"/>
  <cols>
    <col min="1" max="1" width="26" customWidth="1"/>
    <col min="2" max="2" width="12" customWidth="1"/>
    <col min="3" max="3" width="13" customWidth="1"/>
    <col min="4" max="4" width="12" customWidth="1"/>
    <col min="5" max="5" width="13" customWidth="1"/>
    <col min="6" max="6" width="12" customWidth="1"/>
    <col min="7" max="7" width="13" customWidth="1"/>
    <col min="8" max="8" width="12" customWidth="1"/>
    <col min="9" max="9" width="13" customWidth="1"/>
    <col min="10" max="10" width="12" customWidth="1"/>
    <col min="11" max="11" width="13" customWidth="1"/>
    <col min="12" max="12" width="12" customWidth="1"/>
    <col min="13" max="13" width="13" customWidth="1"/>
    <col min="14" max="14" width="12" customWidth="1"/>
    <col min="15" max="15" width="13" customWidth="1"/>
    <col min="16" max="16" width="12" customWidth="1"/>
    <col min="17" max="17" width="13" customWidth="1"/>
  </cols>
  <sheetData>
    <row r="1" ht="24" customHeight="1">
      <c r="A1" s="1" t="inlineStr">
        <is>
          <t>Training matrix</t>
        </is>
      </c>
    </row>
    <row r="2">
      <c r="A2" s="2" t="inlineStr">
        <is>
          <t>Type the name, then the date each course was done under "Done on". The tinted Expires cell beside it fills in by itself. The eight courses and renewal periods here are common ones, not a rule: your statement of purpose and risk assessments set your list, so rename the headings and change the months in the formulas to match.</t>
        </is>
      </c>
    </row>
    <row r="3"/>
    <row r="4" ht="34" customHeight="1">
      <c r="A4" s="4" t="inlineStr">
        <is>
          <t>Staff member</t>
        </is>
      </c>
      <c r="B4" s="4" t="inlineStr">
        <is>
          <t>Safeguarding Children (renews every 1 year)</t>
        </is>
      </c>
      <c r="C4" s="4"/>
      <c r="D4" s="4" t="inlineStr">
        <is>
          <t>First Aid (renews every 3 years)</t>
        </is>
      </c>
      <c r="E4" s="4"/>
      <c r="F4" s="4" t="inlineStr">
        <is>
          <t>Fire Safety (renews every 1 year)</t>
        </is>
      </c>
      <c r="G4" s="4"/>
      <c r="H4" s="4" t="inlineStr">
        <is>
          <t>Medication Administration (renews every 1 year)</t>
        </is>
      </c>
      <c r="I4" s="4"/>
      <c r="J4" s="4" t="inlineStr">
        <is>
          <t>Food Hygiene (renews every 3 years)</t>
        </is>
      </c>
      <c r="K4" s="4"/>
      <c r="L4" s="4" t="inlineStr">
        <is>
          <t>Health and Safety (renews every 1 year)</t>
        </is>
      </c>
      <c r="M4" s="4"/>
      <c r="N4" s="4" t="inlineStr">
        <is>
          <t>Physical Intervention (renews every 1 year)</t>
        </is>
      </c>
      <c r="O4" s="4"/>
      <c r="P4" s="4" t="inlineStr">
        <is>
          <t>Prevent / Online Safety (renews every 2 years)</t>
        </is>
      </c>
      <c r="Q4" s="4"/>
    </row>
    <row r="5">
      <c r="A5" s="4"/>
      <c r="B5" s="12" t="inlineStr">
        <is>
          <t>Done on</t>
        </is>
      </c>
      <c r="C5" s="12" t="inlineStr">
        <is>
          <t>Expires (auto)</t>
        </is>
      </c>
      <c r="D5" s="12" t="inlineStr">
        <is>
          <t>Done on</t>
        </is>
      </c>
      <c r="E5" s="12" t="inlineStr">
        <is>
          <t>Expires (auto)</t>
        </is>
      </c>
      <c r="F5" s="12" t="inlineStr">
        <is>
          <t>Done on</t>
        </is>
      </c>
      <c r="G5" s="12" t="inlineStr">
        <is>
          <t>Expires (auto)</t>
        </is>
      </c>
      <c r="H5" s="12" t="inlineStr">
        <is>
          <t>Done on</t>
        </is>
      </c>
      <c r="I5" s="12" t="inlineStr">
        <is>
          <t>Expires (auto)</t>
        </is>
      </c>
      <c r="J5" s="12" t="inlineStr">
        <is>
          <t>Done on</t>
        </is>
      </c>
      <c r="K5" s="12" t="inlineStr">
        <is>
          <t>Expires (auto)</t>
        </is>
      </c>
      <c r="L5" s="12" t="inlineStr">
        <is>
          <t>Done on</t>
        </is>
      </c>
      <c r="M5" s="12" t="inlineStr">
        <is>
          <t>Expires (auto)</t>
        </is>
      </c>
      <c r="N5" s="12" t="inlineStr">
        <is>
          <t>Done on</t>
        </is>
      </c>
      <c r="O5" s="12" t="inlineStr">
        <is>
          <t>Expires (auto)</t>
        </is>
      </c>
      <c r="P5" s="12" t="inlineStr">
        <is>
          <t>Done on</t>
        </is>
      </c>
      <c r="Q5" s="12" t="inlineStr">
        <is>
          <t>Expires (auto)</t>
        </is>
      </c>
    </row>
    <row r="6">
      <c r="A6" s="8" t="inlineStr">
        <is>
          <t>Example, overtype or delete me</t>
        </is>
      </c>
      <c r="B6" s="11">
        <v>45871</v>
      </c>
      <c r="C6" s="10">
        <f>IF(B6="","",EDATE(B6,12))</f>
      </c>
      <c r="D6" s="11">
        <v>45271</v>
      </c>
      <c r="E6" s="10">
        <f>IF(D6="","",EDATE(D6,36))</f>
      </c>
      <c r="F6" s="11">
        <v>45921</v>
      </c>
      <c r="G6" s="10">
        <f>IF(F6="","",EDATE(F6,12))</f>
      </c>
      <c r="H6" s="7"/>
      <c r="I6" s="10">
        <f>IF(H6="","",EDATE(H6,12))</f>
      </c>
      <c r="J6" s="7"/>
      <c r="K6" s="10">
        <f>IF(J6="","",EDATE(J6,36))</f>
      </c>
      <c r="L6" s="7"/>
      <c r="M6" s="10">
        <f>IF(L6="","",EDATE(L6,12))</f>
      </c>
      <c r="N6" s="7"/>
      <c r="O6" s="10">
        <f>IF(N6="","",EDATE(N6,12))</f>
      </c>
      <c r="P6" s="7"/>
      <c r="Q6" s="10">
        <f>IF(P6="","",EDATE(P6,24))</f>
      </c>
    </row>
    <row r="7">
      <c r="A7" s="5"/>
      <c r="B7" s="7"/>
      <c r="C7" s="10">
        <f>IF(B7="","",EDATE(B7,12))</f>
      </c>
      <c r="D7" s="7"/>
      <c r="E7" s="10">
        <f>IF(D7="","",EDATE(D7,36))</f>
      </c>
      <c r="F7" s="7"/>
      <c r="G7" s="10">
        <f>IF(F7="","",EDATE(F7,12))</f>
      </c>
      <c r="H7" s="7"/>
      <c r="I7" s="10">
        <f>IF(H7="","",EDATE(H7,12))</f>
      </c>
      <c r="J7" s="7"/>
      <c r="K7" s="10">
        <f>IF(J7="","",EDATE(J7,36))</f>
      </c>
      <c r="L7" s="7"/>
      <c r="M7" s="10">
        <f>IF(L7="","",EDATE(L7,12))</f>
      </c>
      <c r="N7" s="7"/>
      <c r="O7" s="10">
        <f>IF(N7="","",EDATE(N7,12))</f>
      </c>
      <c r="P7" s="7"/>
      <c r="Q7" s="10">
        <f>IF(P7="","",EDATE(P7,24))</f>
      </c>
    </row>
    <row r="8">
      <c r="A8" s="5"/>
      <c r="B8" s="7"/>
      <c r="C8" s="10">
        <f>IF(B8="","",EDATE(B8,12))</f>
      </c>
      <c r="D8" s="7"/>
      <c r="E8" s="10">
        <f>IF(D8="","",EDATE(D8,36))</f>
      </c>
      <c r="F8" s="7"/>
      <c r="G8" s="10">
        <f>IF(F8="","",EDATE(F8,12))</f>
      </c>
      <c r="H8" s="7"/>
      <c r="I8" s="10">
        <f>IF(H8="","",EDATE(H8,12))</f>
      </c>
      <c r="J8" s="7"/>
      <c r="K8" s="10">
        <f>IF(J8="","",EDATE(J8,36))</f>
      </c>
      <c r="L8" s="7"/>
      <c r="M8" s="10">
        <f>IF(L8="","",EDATE(L8,12))</f>
      </c>
      <c r="N8" s="7"/>
      <c r="O8" s="10">
        <f>IF(N8="","",EDATE(N8,12))</f>
      </c>
      <c r="P8" s="7"/>
      <c r="Q8" s="10">
        <f>IF(P8="","",EDATE(P8,24))</f>
      </c>
    </row>
    <row r="9">
      <c r="A9" s="5"/>
      <c r="B9" s="7"/>
      <c r="C9" s="10">
        <f>IF(B9="","",EDATE(B9,12))</f>
      </c>
      <c r="D9" s="7"/>
      <c r="E9" s="10">
        <f>IF(D9="","",EDATE(D9,36))</f>
      </c>
      <c r="F9" s="7"/>
      <c r="G9" s="10">
        <f>IF(F9="","",EDATE(F9,12))</f>
      </c>
      <c r="H9" s="7"/>
      <c r="I9" s="10">
        <f>IF(H9="","",EDATE(H9,12))</f>
      </c>
      <c r="J9" s="7"/>
      <c r="K9" s="10">
        <f>IF(J9="","",EDATE(J9,36))</f>
      </c>
      <c r="L9" s="7"/>
      <c r="M9" s="10">
        <f>IF(L9="","",EDATE(L9,12))</f>
      </c>
      <c r="N9" s="7"/>
      <c r="O9" s="10">
        <f>IF(N9="","",EDATE(N9,12))</f>
      </c>
      <c r="P9" s="7"/>
      <c r="Q9" s="10">
        <f>IF(P9="","",EDATE(P9,24))</f>
      </c>
    </row>
    <row r="10">
      <c r="A10" s="5"/>
      <c r="B10" s="7"/>
      <c r="C10" s="10">
        <f>IF(B10="","",EDATE(B10,12))</f>
      </c>
      <c r="D10" s="7"/>
      <c r="E10" s="10">
        <f>IF(D10="","",EDATE(D10,36))</f>
      </c>
      <c r="F10" s="7"/>
      <c r="G10" s="10">
        <f>IF(F10="","",EDATE(F10,12))</f>
      </c>
      <c r="H10" s="7"/>
      <c r="I10" s="10">
        <f>IF(H10="","",EDATE(H10,12))</f>
      </c>
      <c r="J10" s="7"/>
      <c r="K10" s="10">
        <f>IF(J10="","",EDATE(J10,36))</f>
      </c>
      <c r="L10" s="7"/>
      <c r="M10" s="10">
        <f>IF(L10="","",EDATE(L10,12))</f>
      </c>
      <c r="N10" s="7"/>
      <c r="O10" s="10">
        <f>IF(N10="","",EDATE(N10,12))</f>
      </c>
      <c r="P10" s="7"/>
      <c r="Q10" s="10">
        <f>IF(P10="","",EDATE(P10,24))</f>
      </c>
    </row>
    <row r="11">
      <c r="A11" s="5"/>
      <c r="B11" s="7"/>
      <c r="C11" s="10">
        <f>IF(B11="","",EDATE(B11,12))</f>
      </c>
      <c r="D11" s="7"/>
      <c r="E11" s="10">
        <f>IF(D11="","",EDATE(D11,36))</f>
      </c>
      <c r="F11" s="7"/>
      <c r="G11" s="10">
        <f>IF(F11="","",EDATE(F11,12))</f>
      </c>
      <c r="H11" s="7"/>
      <c r="I11" s="10">
        <f>IF(H11="","",EDATE(H11,12))</f>
      </c>
      <c r="J11" s="7"/>
      <c r="K11" s="10">
        <f>IF(J11="","",EDATE(J11,36))</f>
      </c>
      <c r="L11" s="7"/>
      <c r="M11" s="10">
        <f>IF(L11="","",EDATE(L11,12))</f>
      </c>
      <c r="N11" s="7"/>
      <c r="O11" s="10">
        <f>IF(N11="","",EDATE(N11,12))</f>
      </c>
      <c r="P11" s="7"/>
      <c r="Q11" s="10">
        <f>IF(P11="","",EDATE(P11,24))</f>
      </c>
    </row>
    <row r="12">
      <c r="A12" s="5"/>
      <c r="B12" s="7"/>
      <c r="C12" s="10">
        <f>IF(B12="","",EDATE(B12,12))</f>
      </c>
      <c r="D12" s="7"/>
      <c r="E12" s="10">
        <f>IF(D12="","",EDATE(D12,36))</f>
      </c>
      <c r="F12" s="7"/>
      <c r="G12" s="10">
        <f>IF(F12="","",EDATE(F12,12))</f>
      </c>
      <c r="H12" s="7"/>
      <c r="I12" s="10">
        <f>IF(H12="","",EDATE(H12,12))</f>
      </c>
      <c r="J12" s="7"/>
      <c r="K12" s="10">
        <f>IF(J12="","",EDATE(J12,36))</f>
      </c>
      <c r="L12" s="7"/>
      <c r="M12" s="10">
        <f>IF(L12="","",EDATE(L12,12))</f>
      </c>
      <c r="N12" s="7"/>
      <c r="O12" s="10">
        <f>IF(N12="","",EDATE(N12,12))</f>
      </c>
      <c r="P12" s="7"/>
      <c r="Q12" s="10">
        <f>IF(P12="","",EDATE(P12,24))</f>
      </c>
    </row>
    <row r="13">
      <c r="A13" s="5"/>
      <c r="B13" s="7"/>
      <c r="C13" s="10">
        <f>IF(B13="","",EDATE(B13,12))</f>
      </c>
      <c r="D13" s="7"/>
      <c r="E13" s="10">
        <f>IF(D13="","",EDATE(D13,36))</f>
      </c>
      <c r="F13" s="7"/>
      <c r="G13" s="10">
        <f>IF(F13="","",EDATE(F13,12))</f>
      </c>
      <c r="H13" s="7"/>
      <c r="I13" s="10">
        <f>IF(H13="","",EDATE(H13,12))</f>
      </c>
      <c r="J13" s="7"/>
      <c r="K13" s="10">
        <f>IF(J13="","",EDATE(J13,36))</f>
      </c>
      <c r="L13" s="7"/>
      <c r="M13" s="10">
        <f>IF(L13="","",EDATE(L13,12))</f>
      </c>
      <c r="N13" s="7"/>
      <c r="O13" s="10">
        <f>IF(N13="","",EDATE(N13,12))</f>
      </c>
      <c r="P13" s="7"/>
      <c r="Q13" s="10">
        <f>IF(P13="","",EDATE(P13,24))</f>
      </c>
    </row>
    <row r="14">
      <c r="A14" s="5"/>
      <c r="B14" s="7"/>
      <c r="C14" s="10">
        <f>IF(B14="","",EDATE(B14,12))</f>
      </c>
      <c r="D14" s="7"/>
      <c r="E14" s="10">
        <f>IF(D14="","",EDATE(D14,36))</f>
      </c>
      <c r="F14" s="7"/>
      <c r="G14" s="10">
        <f>IF(F14="","",EDATE(F14,12))</f>
      </c>
      <c r="H14" s="7"/>
      <c r="I14" s="10">
        <f>IF(H14="","",EDATE(H14,12))</f>
      </c>
      <c r="J14" s="7"/>
      <c r="K14" s="10">
        <f>IF(J14="","",EDATE(J14,36))</f>
      </c>
      <c r="L14" s="7"/>
      <c r="M14" s="10">
        <f>IF(L14="","",EDATE(L14,12))</f>
      </c>
      <c r="N14" s="7"/>
      <c r="O14" s="10">
        <f>IF(N14="","",EDATE(N14,12))</f>
      </c>
      <c r="P14" s="7"/>
      <c r="Q14" s="10">
        <f>IF(P14="","",EDATE(P14,24))</f>
      </c>
    </row>
    <row r="15">
      <c r="A15" s="5"/>
      <c r="B15" s="7"/>
      <c r="C15" s="10">
        <f>IF(B15="","",EDATE(B15,12))</f>
      </c>
      <c r="D15" s="7"/>
      <c r="E15" s="10">
        <f>IF(D15="","",EDATE(D15,36))</f>
      </c>
      <c r="F15" s="7"/>
      <c r="G15" s="10">
        <f>IF(F15="","",EDATE(F15,12))</f>
      </c>
      <c r="H15" s="7"/>
      <c r="I15" s="10">
        <f>IF(H15="","",EDATE(H15,12))</f>
      </c>
      <c r="J15" s="7"/>
      <c r="K15" s="10">
        <f>IF(J15="","",EDATE(J15,36))</f>
      </c>
      <c r="L15" s="7"/>
      <c r="M15" s="10">
        <f>IF(L15="","",EDATE(L15,12))</f>
      </c>
      <c r="N15" s="7"/>
      <c r="O15" s="10">
        <f>IF(N15="","",EDATE(N15,12))</f>
      </c>
      <c r="P15" s="7"/>
      <c r="Q15" s="10">
        <f>IF(P15="","",EDATE(P15,24))</f>
      </c>
    </row>
    <row r="16">
      <c r="A16" s="5"/>
      <c r="B16" s="7"/>
      <c r="C16" s="10">
        <f>IF(B16="","",EDATE(B16,12))</f>
      </c>
      <c r="D16" s="7"/>
      <c r="E16" s="10">
        <f>IF(D16="","",EDATE(D16,36))</f>
      </c>
      <c r="F16" s="7"/>
      <c r="G16" s="10">
        <f>IF(F16="","",EDATE(F16,12))</f>
      </c>
      <c r="H16" s="7"/>
      <c r="I16" s="10">
        <f>IF(H16="","",EDATE(H16,12))</f>
      </c>
      <c r="J16" s="7"/>
      <c r="K16" s="10">
        <f>IF(J16="","",EDATE(J16,36))</f>
      </c>
      <c r="L16" s="7"/>
      <c r="M16" s="10">
        <f>IF(L16="","",EDATE(L16,12))</f>
      </c>
      <c r="N16" s="7"/>
      <c r="O16" s="10">
        <f>IF(N16="","",EDATE(N16,12))</f>
      </c>
      <c r="P16" s="7"/>
      <c r="Q16" s="10">
        <f>IF(P16="","",EDATE(P16,24))</f>
      </c>
    </row>
    <row r="17">
      <c r="A17" s="5"/>
      <c r="B17" s="7"/>
      <c r="C17" s="10">
        <f>IF(B17="","",EDATE(B17,12))</f>
      </c>
      <c r="D17" s="7"/>
      <c r="E17" s="10">
        <f>IF(D17="","",EDATE(D17,36))</f>
      </c>
      <c r="F17" s="7"/>
      <c r="G17" s="10">
        <f>IF(F17="","",EDATE(F17,12))</f>
      </c>
      <c r="H17" s="7"/>
      <c r="I17" s="10">
        <f>IF(H17="","",EDATE(H17,12))</f>
      </c>
      <c r="J17" s="7"/>
      <c r="K17" s="10">
        <f>IF(J17="","",EDATE(J17,36))</f>
      </c>
      <c r="L17" s="7"/>
      <c r="M17" s="10">
        <f>IF(L17="","",EDATE(L17,12))</f>
      </c>
      <c r="N17" s="7"/>
      <c r="O17" s="10">
        <f>IF(N17="","",EDATE(N17,12))</f>
      </c>
      <c r="P17" s="7"/>
      <c r="Q17" s="10">
        <f>IF(P17="","",EDATE(P17,24))</f>
      </c>
    </row>
    <row r="18">
      <c r="A18" s="5"/>
      <c r="B18" s="7"/>
      <c r="C18" s="10">
        <f>IF(B18="","",EDATE(B18,12))</f>
      </c>
      <c r="D18" s="7"/>
      <c r="E18" s="10">
        <f>IF(D18="","",EDATE(D18,36))</f>
      </c>
      <c r="F18" s="7"/>
      <c r="G18" s="10">
        <f>IF(F18="","",EDATE(F18,12))</f>
      </c>
      <c r="H18" s="7"/>
      <c r="I18" s="10">
        <f>IF(H18="","",EDATE(H18,12))</f>
      </c>
      <c r="J18" s="7"/>
      <c r="K18" s="10">
        <f>IF(J18="","",EDATE(J18,36))</f>
      </c>
      <c r="L18" s="7"/>
      <c r="M18" s="10">
        <f>IF(L18="","",EDATE(L18,12))</f>
      </c>
      <c r="N18" s="7"/>
      <c r="O18" s="10">
        <f>IF(N18="","",EDATE(N18,12))</f>
      </c>
      <c r="P18" s="7"/>
      <c r="Q18" s="10">
        <f>IF(P18="","",EDATE(P18,24))</f>
      </c>
    </row>
    <row r="19">
      <c r="A19" s="5"/>
      <c r="B19" s="7"/>
      <c r="C19" s="10">
        <f>IF(B19="","",EDATE(B19,12))</f>
      </c>
      <c r="D19" s="7"/>
      <c r="E19" s="10">
        <f>IF(D19="","",EDATE(D19,36))</f>
      </c>
      <c r="F19" s="7"/>
      <c r="G19" s="10">
        <f>IF(F19="","",EDATE(F19,12))</f>
      </c>
      <c r="H19" s="7"/>
      <c r="I19" s="10">
        <f>IF(H19="","",EDATE(H19,12))</f>
      </c>
      <c r="J19" s="7"/>
      <c r="K19" s="10">
        <f>IF(J19="","",EDATE(J19,36))</f>
      </c>
      <c r="L19" s="7"/>
      <c r="M19" s="10">
        <f>IF(L19="","",EDATE(L19,12))</f>
      </c>
      <c r="N19" s="7"/>
      <c r="O19" s="10">
        <f>IF(N19="","",EDATE(N19,12))</f>
      </c>
      <c r="P19" s="7"/>
      <c r="Q19" s="10">
        <f>IF(P19="","",EDATE(P19,24))</f>
      </c>
    </row>
    <row r="20">
      <c r="A20" s="5"/>
      <c r="B20" s="7"/>
      <c r="C20" s="10">
        <f>IF(B20="","",EDATE(B20,12))</f>
      </c>
      <c r="D20" s="7"/>
      <c r="E20" s="10">
        <f>IF(D20="","",EDATE(D20,36))</f>
      </c>
      <c r="F20" s="7"/>
      <c r="G20" s="10">
        <f>IF(F20="","",EDATE(F20,12))</f>
      </c>
      <c r="H20" s="7"/>
      <c r="I20" s="10">
        <f>IF(H20="","",EDATE(H20,12))</f>
      </c>
      <c r="J20" s="7"/>
      <c r="K20" s="10">
        <f>IF(J20="","",EDATE(J20,36))</f>
      </c>
      <c r="L20" s="7"/>
      <c r="M20" s="10">
        <f>IF(L20="","",EDATE(L20,12))</f>
      </c>
      <c r="N20" s="7"/>
      <c r="O20" s="10">
        <f>IF(N20="","",EDATE(N20,12))</f>
      </c>
      <c r="P20" s="7"/>
      <c r="Q20" s="10">
        <f>IF(P20="","",EDATE(P20,24))</f>
      </c>
    </row>
    <row r="21">
      <c r="A21" s="5"/>
      <c r="B21" s="7"/>
      <c r="C21" s="10">
        <f>IF(B21="","",EDATE(B21,12))</f>
      </c>
      <c r="D21" s="7"/>
      <c r="E21" s="10">
        <f>IF(D21="","",EDATE(D21,36))</f>
      </c>
      <c r="F21" s="7"/>
      <c r="G21" s="10">
        <f>IF(F21="","",EDATE(F21,12))</f>
      </c>
      <c r="H21" s="7"/>
      <c r="I21" s="10">
        <f>IF(H21="","",EDATE(H21,12))</f>
      </c>
      <c r="J21" s="7"/>
      <c r="K21" s="10">
        <f>IF(J21="","",EDATE(J21,36))</f>
      </c>
      <c r="L21" s="7"/>
      <c r="M21" s="10">
        <f>IF(L21="","",EDATE(L21,12))</f>
      </c>
      <c r="N21" s="7"/>
      <c r="O21" s="10">
        <f>IF(N21="","",EDATE(N21,12))</f>
      </c>
      <c r="P21" s="7"/>
      <c r="Q21" s="10">
        <f>IF(P21="","",EDATE(P21,24))</f>
      </c>
    </row>
    <row r="22">
      <c r="A22" s="5"/>
      <c r="B22" s="7"/>
      <c r="C22" s="10">
        <f>IF(B22="","",EDATE(B22,12))</f>
      </c>
      <c r="D22" s="7"/>
      <c r="E22" s="10">
        <f>IF(D22="","",EDATE(D22,36))</f>
      </c>
      <c r="F22" s="7"/>
      <c r="G22" s="10">
        <f>IF(F22="","",EDATE(F22,12))</f>
      </c>
      <c r="H22" s="7"/>
      <c r="I22" s="10">
        <f>IF(H22="","",EDATE(H22,12))</f>
      </c>
      <c r="J22" s="7"/>
      <c r="K22" s="10">
        <f>IF(J22="","",EDATE(J22,36))</f>
      </c>
      <c r="L22" s="7"/>
      <c r="M22" s="10">
        <f>IF(L22="","",EDATE(L22,12))</f>
      </c>
      <c r="N22" s="7"/>
      <c r="O22" s="10">
        <f>IF(N22="","",EDATE(N22,12))</f>
      </c>
      <c r="P22" s="7"/>
      <c r="Q22" s="10">
        <f>IF(P22="","",EDATE(P22,24))</f>
      </c>
    </row>
    <row r="23">
      <c r="A23" s="5"/>
      <c r="B23" s="7"/>
      <c r="C23" s="10">
        <f>IF(B23="","",EDATE(B23,12))</f>
      </c>
      <c r="D23" s="7"/>
      <c r="E23" s="10">
        <f>IF(D23="","",EDATE(D23,36))</f>
      </c>
      <c r="F23" s="7"/>
      <c r="G23" s="10">
        <f>IF(F23="","",EDATE(F23,12))</f>
      </c>
      <c r="H23" s="7"/>
      <c r="I23" s="10">
        <f>IF(H23="","",EDATE(H23,12))</f>
      </c>
      <c r="J23" s="7"/>
      <c r="K23" s="10">
        <f>IF(J23="","",EDATE(J23,36))</f>
      </c>
      <c r="L23" s="7"/>
      <c r="M23" s="10">
        <f>IF(L23="","",EDATE(L23,12))</f>
      </c>
      <c r="N23" s="7"/>
      <c r="O23" s="10">
        <f>IF(N23="","",EDATE(N23,12))</f>
      </c>
      <c r="P23" s="7"/>
      <c r="Q23" s="10">
        <f>IF(P23="","",EDATE(P23,24))</f>
      </c>
    </row>
    <row r="24">
      <c r="A24" s="5"/>
      <c r="B24" s="7"/>
      <c r="C24" s="10">
        <f>IF(B24="","",EDATE(B24,12))</f>
      </c>
      <c r="D24" s="7"/>
      <c r="E24" s="10">
        <f>IF(D24="","",EDATE(D24,36))</f>
      </c>
      <c r="F24" s="7"/>
      <c r="G24" s="10">
        <f>IF(F24="","",EDATE(F24,12))</f>
      </c>
      <c r="H24" s="7"/>
      <c r="I24" s="10">
        <f>IF(H24="","",EDATE(H24,12))</f>
      </c>
      <c r="J24" s="7"/>
      <c r="K24" s="10">
        <f>IF(J24="","",EDATE(J24,36))</f>
      </c>
      <c r="L24" s="7"/>
      <c r="M24" s="10">
        <f>IF(L24="","",EDATE(L24,12))</f>
      </c>
      <c r="N24" s="7"/>
      <c r="O24" s="10">
        <f>IF(N24="","",EDATE(N24,12))</f>
      </c>
      <c r="P24" s="7"/>
      <c r="Q24" s="10">
        <f>IF(P24="","",EDATE(P24,24))</f>
      </c>
    </row>
    <row r="25">
      <c r="A25" s="5"/>
      <c r="B25" s="7"/>
      <c r="C25" s="10">
        <f>IF(B25="","",EDATE(B25,12))</f>
      </c>
      <c r="D25" s="7"/>
      <c r="E25" s="10">
        <f>IF(D25="","",EDATE(D25,36))</f>
      </c>
      <c r="F25" s="7"/>
      <c r="G25" s="10">
        <f>IF(F25="","",EDATE(F25,12))</f>
      </c>
      <c r="H25" s="7"/>
      <c r="I25" s="10">
        <f>IF(H25="","",EDATE(H25,12))</f>
      </c>
      <c r="J25" s="7"/>
      <c r="K25" s="10">
        <f>IF(J25="","",EDATE(J25,36))</f>
      </c>
      <c r="L25" s="7"/>
      <c r="M25" s="10">
        <f>IF(L25="","",EDATE(L25,12))</f>
      </c>
      <c r="N25" s="7"/>
      <c r="O25" s="10">
        <f>IF(N25="","",EDATE(N25,12))</f>
      </c>
      <c r="P25" s="7"/>
      <c r="Q25" s="10">
        <f>IF(P25="","",EDATE(P25,24))</f>
      </c>
    </row>
    <row r="26">
      <c r="A26" s="5"/>
      <c r="B26" s="7"/>
      <c r="C26" s="10">
        <f>IF(B26="","",EDATE(B26,12))</f>
      </c>
      <c r="D26" s="7"/>
      <c r="E26" s="10">
        <f>IF(D26="","",EDATE(D26,36))</f>
      </c>
      <c r="F26" s="7"/>
      <c r="G26" s="10">
        <f>IF(F26="","",EDATE(F26,12))</f>
      </c>
      <c r="H26" s="7"/>
      <c r="I26" s="10">
        <f>IF(H26="","",EDATE(H26,12))</f>
      </c>
      <c r="J26" s="7"/>
      <c r="K26" s="10">
        <f>IF(J26="","",EDATE(J26,36))</f>
      </c>
      <c r="L26" s="7"/>
      <c r="M26" s="10">
        <f>IF(L26="","",EDATE(L26,12))</f>
      </c>
      <c r="N26" s="7"/>
      <c r="O26" s="10">
        <f>IF(N26="","",EDATE(N26,12))</f>
      </c>
      <c r="P26" s="7"/>
      <c r="Q26" s="10">
        <f>IF(P26="","",EDATE(P26,24))</f>
      </c>
    </row>
  </sheetData>
  <mergeCells count="10">
    <mergeCell ref="A1:E1"/>
    <mergeCell ref="A2:K2"/>
    <mergeCell ref="B4:C4"/>
    <mergeCell ref="D4:E4"/>
    <mergeCell ref="F4:G4"/>
    <mergeCell ref="H4:I4"/>
    <mergeCell ref="J4:K4"/>
    <mergeCell ref="L4:M4"/>
    <mergeCell ref="N4:O4"/>
    <mergeCell ref="P4:Q4"/>
  </mergeCells>
  <conditionalFormatting sqref="C6:C26">
    <cfRule type="expression" dxfId="0" priority="1">
      <formula>AND(C6&lt;&gt;"",C6&lt;TODAY())</formula>
    </cfRule>
    <cfRule type="expression" dxfId="1" priority="2">
      <formula>AND(C6&lt;&gt;"",C6&lt;TODAY()+30)</formula>
    </cfRule>
    <cfRule type="expression" dxfId="2" priority="3">
      <formula>AND(C6&lt;&gt;"",C6&gt;=TODAY()+30)</formula>
    </cfRule>
  </conditionalFormatting>
  <conditionalFormatting sqref="E6:E26">
    <cfRule type="expression" dxfId="0" priority="4">
      <formula>AND(E6&lt;&gt;"",E6&lt;TODAY())</formula>
    </cfRule>
    <cfRule type="expression" dxfId="1" priority="5">
      <formula>AND(E6&lt;&gt;"",E6&lt;TODAY()+30)</formula>
    </cfRule>
    <cfRule type="expression" dxfId="2" priority="6">
      <formula>AND(E6&lt;&gt;"",E6&gt;=TODAY()+30)</formula>
    </cfRule>
  </conditionalFormatting>
  <conditionalFormatting sqref="G6:G26">
    <cfRule type="expression" dxfId="0" priority="7">
      <formula>AND(G6&lt;&gt;"",G6&lt;TODAY())</formula>
    </cfRule>
    <cfRule type="expression" dxfId="1" priority="8">
      <formula>AND(G6&lt;&gt;"",G6&lt;TODAY()+30)</formula>
    </cfRule>
    <cfRule type="expression" dxfId="2" priority="9">
      <formula>AND(G6&lt;&gt;"",G6&gt;=TODAY()+30)</formula>
    </cfRule>
  </conditionalFormatting>
  <conditionalFormatting sqref="I6:I26">
    <cfRule type="expression" dxfId="0" priority="10">
      <formula>AND(I6&lt;&gt;"",I6&lt;TODAY())</formula>
    </cfRule>
    <cfRule type="expression" dxfId="1" priority="11">
      <formula>AND(I6&lt;&gt;"",I6&lt;TODAY()+30)</formula>
    </cfRule>
    <cfRule type="expression" dxfId="2" priority="12">
      <formula>AND(I6&lt;&gt;"",I6&gt;=TODAY()+30)</formula>
    </cfRule>
  </conditionalFormatting>
  <conditionalFormatting sqref="K6:K26">
    <cfRule type="expression" dxfId="0" priority="13">
      <formula>AND(K6&lt;&gt;"",K6&lt;TODAY())</formula>
    </cfRule>
    <cfRule type="expression" dxfId="1" priority="14">
      <formula>AND(K6&lt;&gt;"",K6&lt;TODAY()+30)</formula>
    </cfRule>
    <cfRule type="expression" dxfId="2" priority="15">
      <formula>AND(K6&lt;&gt;"",K6&gt;=TODAY()+30)</formula>
    </cfRule>
  </conditionalFormatting>
  <conditionalFormatting sqref="M6:M26">
    <cfRule type="expression" dxfId="0" priority="16">
      <formula>AND(M6&lt;&gt;"",M6&lt;TODAY())</formula>
    </cfRule>
    <cfRule type="expression" dxfId="1" priority="17">
      <formula>AND(M6&lt;&gt;"",M6&lt;TODAY()+30)</formula>
    </cfRule>
    <cfRule type="expression" dxfId="2" priority="18">
      <formula>AND(M6&lt;&gt;"",M6&gt;=TODAY()+30)</formula>
    </cfRule>
  </conditionalFormatting>
  <conditionalFormatting sqref="O6:O26">
    <cfRule type="expression" dxfId="0" priority="19">
      <formula>AND(O6&lt;&gt;"",O6&lt;TODAY())</formula>
    </cfRule>
    <cfRule type="expression" dxfId="1" priority="20">
      <formula>AND(O6&lt;&gt;"",O6&lt;TODAY()+30)</formula>
    </cfRule>
    <cfRule type="expression" dxfId="2" priority="21">
      <formula>AND(O6&lt;&gt;"",O6&gt;=TODAY()+30)</formula>
    </cfRule>
  </conditionalFormatting>
  <conditionalFormatting sqref="Q6:Q26">
    <cfRule type="expression" dxfId="0" priority="22">
      <formula>AND(Q6&lt;&gt;"",Q6&lt;TODAY())</formula>
    </cfRule>
    <cfRule type="expression" dxfId="1" priority="23">
      <formula>AND(Q6&lt;&gt;"",Q6&lt;TODAY()+30)</formula>
    </cfRule>
    <cfRule type="expression" dxfId="2" priority="24">
      <formula>AND(Q6&lt;&gt;"",Q6&gt;=TODAY()+30)</formula>
    </cfRule>
  </conditionalFormatting>
  <pageMargins left="0.4" right="0.4" top="0.5" bottom="0.5" header="0.3" footer="0.3"/>
  <pageSetup paperSize="9" orientation="landscape" fitToWidth="1" fitToHeight="0"/>
</worksheet>
</file>

<file path=xl/worksheets/sheet6.xml><?xml version="1.0" encoding="utf-8"?>
<worksheet xmlns="http://schemas.openxmlformats.org/spreadsheetml/2006/main">
  <sheetPr>
    <tabColor rgb="FF0D5C45"/>
    <pageSetUpPr fitToPage="1"/>
  </sheetPr>
  <sheetViews>
    <sheetView showGridLines="0" workbookViewId="0">
      <pane ySplit="4" topLeftCell="A5" activePane="bottomLeft" state="frozen"/>
    </sheetView>
  </sheetViews>
  <sheetFormatPr defaultRowHeight="15"/>
  <cols>
    <col min="1" max="1" width="26" customWidth="1"/>
    <col min="2" max="2" width="12" customWidth="1"/>
    <col min="3" max="3" width="16" customWidth="1"/>
    <col min="4" max="4" width="12" customWidth="1"/>
    <col min="5" max="5" width="12" customWidth="1"/>
  </cols>
  <sheetData>
    <row r="1" ht="24" customHeight="1">
      <c r="A1" s="1" t="inlineStr">
        <is>
          <t>Supervision tracker</t>
        </is>
      </c>
    </row>
    <row r="2">
      <c r="A2" s="2" t="inlineStr">
        <is>
          <t>Name, your cycle in days (28 is common), and the date of the last supervision. The tinted columns compute themselves. The manager goes on this list too.</t>
        </is>
      </c>
    </row>
    <row r="3"/>
    <row r="4" ht="30" customHeight="1">
      <c r="A4" s="4" t="inlineStr">
        <is>
          <t>Staff member</t>
        </is>
      </c>
      <c r="B4" s="4" t="inlineStr">
        <is>
          <t>Cycle (days)</t>
        </is>
      </c>
      <c r="C4" s="4" t="inlineStr">
        <is>
          <t>Last supervision</t>
        </is>
      </c>
      <c r="D4" s="4" t="inlineStr">
        <is>
          <t>Days since</t>
        </is>
      </c>
      <c r="E4" s="4" t="inlineStr">
        <is>
          <t>Standing</t>
        </is>
      </c>
    </row>
    <row r="5">
      <c r="A5" s="8" t="inlineStr">
        <is>
          <t>Example, overtype or delete me</t>
        </is>
      </c>
      <c r="B5" s="7">
        <v>28</v>
      </c>
      <c r="C5" s="11">
        <v>46231</v>
      </c>
      <c r="D5" s="9">
        <f>IF(C5="","",TODAY()-C5)</f>
      </c>
      <c r="E5" s="9">
        <f>IF(C5="","",IF(TODAY()-C5&gt;B5,"OVERDUE",IF(TODAY()-C5&gt;B5-7,"DUE","OK")))</f>
      </c>
    </row>
    <row r="6">
      <c r="A6" s="5"/>
      <c r="B6" s="7"/>
      <c r="C6" s="7"/>
      <c r="D6" s="9">
        <f>IF(C6="","",TODAY()-C6)</f>
      </c>
      <c r="E6" s="9">
        <f>IF(C6="","",IF(TODAY()-C6&gt;B6,"OVERDUE",IF(TODAY()-C6&gt;B6-7,"DUE","OK")))</f>
      </c>
    </row>
    <row r="7">
      <c r="A7" s="5"/>
      <c r="B7" s="7"/>
      <c r="C7" s="7"/>
      <c r="D7" s="9">
        <f>IF(C7="","",TODAY()-C7)</f>
      </c>
      <c r="E7" s="9">
        <f>IF(C7="","",IF(TODAY()-C7&gt;B7,"OVERDUE",IF(TODAY()-C7&gt;B7-7,"DUE","OK")))</f>
      </c>
    </row>
    <row r="8">
      <c r="A8" s="5"/>
      <c r="B8" s="7"/>
      <c r="C8" s="7"/>
      <c r="D8" s="9">
        <f>IF(C8="","",TODAY()-C8)</f>
      </c>
      <c r="E8" s="9">
        <f>IF(C8="","",IF(TODAY()-C8&gt;B8,"OVERDUE",IF(TODAY()-C8&gt;B8-7,"DUE","OK")))</f>
      </c>
    </row>
    <row r="9">
      <c r="A9" s="5"/>
      <c r="B9" s="7"/>
      <c r="C9" s="7"/>
      <c r="D9" s="9">
        <f>IF(C9="","",TODAY()-C9)</f>
      </c>
      <c r="E9" s="9">
        <f>IF(C9="","",IF(TODAY()-C9&gt;B9,"OVERDUE",IF(TODAY()-C9&gt;B9-7,"DUE","OK")))</f>
      </c>
    </row>
    <row r="10">
      <c r="A10" s="5"/>
      <c r="B10" s="7"/>
      <c r="C10" s="7"/>
      <c r="D10" s="9">
        <f>IF(C10="","",TODAY()-C10)</f>
      </c>
      <c r="E10" s="9">
        <f>IF(C10="","",IF(TODAY()-C10&gt;B10,"OVERDUE",IF(TODAY()-C10&gt;B10-7,"DUE","OK")))</f>
      </c>
    </row>
    <row r="11">
      <c r="A11" s="5"/>
      <c r="B11" s="7"/>
      <c r="C11" s="7"/>
      <c r="D11" s="9">
        <f>IF(C11="","",TODAY()-C11)</f>
      </c>
      <c r="E11" s="9">
        <f>IF(C11="","",IF(TODAY()-C11&gt;B11,"OVERDUE",IF(TODAY()-C11&gt;B11-7,"DUE","OK")))</f>
      </c>
    </row>
    <row r="12">
      <c r="A12" s="5"/>
      <c r="B12" s="7"/>
      <c r="C12" s="7"/>
      <c r="D12" s="9">
        <f>IF(C12="","",TODAY()-C12)</f>
      </c>
      <c r="E12" s="9">
        <f>IF(C12="","",IF(TODAY()-C12&gt;B12,"OVERDUE",IF(TODAY()-C12&gt;B12-7,"DUE","OK")))</f>
      </c>
    </row>
    <row r="13">
      <c r="A13" s="5"/>
      <c r="B13" s="7"/>
      <c r="C13" s="7"/>
      <c r="D13" s="9">
        <f>IF(C13="","",TODAY()-C13)</f>
      </c>
      <c r="E13" s="9">
        <f>IF(C13="","",IF(TODAY()-C13&gt;B13,"OVERDUE",IF(TODAY()-C13&gt;B13-7,"DUE","OK")))</f>
      </c>
    </row>
    <row r="14">
      <c r="A14" s="5"/>
      <c r="B14" s="7"/>
      <c r="C14" s="7"/>
      <c r="D14" s="9">
        <f>IF(C14="","",TODAY()-C14)</f>
      </c>
      <c r="E14" s="9">
        <f>IF(C14="","",IF(TODAY()-C14&gt;B14,"OVERDUE",IF(TODAY()-C14&gt;B14-7,"DUE","OK")))</f>
      </c>
    </row>
    <row r="15">
      <c r="A15" s="5"/>
      <c r="B15" s="7"/>
      <c r="C15" s="7"/>
      <c r="D15" s="9">
        <f>IF(C15="","",TODAY()-C15)</f>
      </c>
      <c r="E15" s="9">
        <f>IF(C15="","",IF(TODAY()-C15&gt;B15,"OVERDUE",IF(TODAY()-C15&gt;B15-7,"DUE","OK")))</f>
      </c>
    </row>
    <row r="16">
      <c r="A16" s="5"/>
      <c r="B16" s="7"/>
      <c r="C16" s="7"/>
      <c r="D16" s="9">
        <f>IF(C16="","",TODAY()-C16)</f>
      </c>
      <c r="E16" s="9">
        <f>IF(C16="","",IF(TODAY()-C16&gt;B16,"OVERDUE",IF(TODAY()-C16&gt;B16-7,"DUE","OK")))</f>
      </c>
    </row>
    <row r="17">
      <c r="A17" s="5"/>
      <c r="B17" s="7"/>
      <c r="C17" s="7"/>
      <c r="D17" s="9">
        <f>IF(C17="","",TODAY()-C17)</f>
      </c>
      <c r="E17" s="9">
        <f>IF(C17="","",IF(TODAY()-C17&gt;B17,"OVERDUE",IF(TODAY()-C17&gt;B17-7,"DUE","OK")))</f>
      </c>
    </row>
    <row r="18">
      <c r="A18" s="5"/>
      <c r="B18" s="7"/>
      <c r="C18" s="7"/>
      <c r="D18" s="9">
        <f>IF(C18="","",TODAY()-C18)</f>
      </c>
      <c r="E18" s="9">
        <f>IF(C18="","",IF(TODAY()-C18&gt;B18,"OVERDUE",IF(TODAY()-C18&gt;B18-7,"DUE","OK")))</f>
      </c>
    </row>
    <row r="19">
      <c r="A19" s="5"/>
      <c r="B19" s="7"/>
      <c r="C19" s="7"/>
      <c r="D19" s="9">
        <f>IF(C19="","",TODAY()-C19)</f>
      </c>
      <c r="E19" s="9">
        <f>IF(C19="","",IF(TODAY()-C19&gt;B19,"OVERDUE",IF(TODAY()-C19&gt;B19-7,"DUE","OK")))</f>
      </c>
    </row>
    <row r="20">
      <c r="A20" s="5"/>
      <c r="B20" s="7"/>
      <c r="C20" s="7"/>
      <c r="D20" s="9">
        <f>IF(C20="","",TODAY()-C20)</f>
      </c>
      <c r="E20" s="9">
        <f>IF(C20="","",IF(TODAY()-C20&gt;B20,"OVERDUE",IF(TODAY()-C20&gt;B20-7,"DUE","OK")))</f>
      </c>
    </row>
    <row r="21">
      <c r="A21" s="5"/>
      <c r="B21" s="7"/>
      <c r="C21" s="7"/>
      <c r="D21" s="9">
        <f>IF(C21="","",TODAY()-C21)</f>
      </c>
      <c r="E21" s="9">
        <f>IF(C21="","",IF(TODAY()-C21&gt;B21,"OVERDUE",IF(TODAY()-C21&gt;B21-7,"DUE","OK")))</f>
      </c>
    </row>
    <row r="22">
      <c r="A22" s="5"/>
      <c r="B22" s="7"/>
      <c r="C22" s="7"/>
      <c r="D22" s="9">
        <f>IF(C22="","",TODAY()-C22)</f>
      </c>
      <c r="E22" s="9">
        <f>IF(C22="","",IF(TODAY()-C22&gt;B22,"OVERDUE",IF(TODAY()-C22&gt;B22-7,"DUE","OK")))</f>
      </c>
    </row>
    <row r="23">
      <c r="A23" s="5"/>
      <c r="B23" s="7"/>
      <c r="C23" s="7"/>
      <c r="D23" s="9">
        <f>IF(C23="","",TODAY()-C23)</f>
      </c>
      <c r="E23" s="9">
        <f>IF(C23="","",IF(TODAY()-C23&gt;B23,"OVERDUE",IF(TODAY()-C23&gt;B23-7,"DUE","OK")))</f>
      </c>
    </row>
    <row r="24">
      <c r="A24" s="5"/>
      <c r="B24" s="7"/>
      <c r="C24" s="7"/>
      <c r="D24" s="9">
        <f>IF(C24="","",TODAY()-C24)</f>
      </c>
      <c r="E24" s="9">
        <f>IF(C24="","",IF(TODAY()-C24&gt;B24,"OVERDUE",IF(TODAY()-C24&gt;B24-7,"DUE","OK")))</f>
      </c>
    </row>
    <row r="25">
      <c r="A25" s="5"/>
      <c r="B25" s="7"/>
      <c r="C25" s="7"/>
      <c r="D25" s="9">
        <f>IF(C25="","",TODAY()-C25)</f>
      </c>
      <c r="E25" s="9">
        <f>IF(C25="","",IF(TODAY()-C25&gt;B25,"OVERDUE",IF(TODAY()-C25&gt;B25-7,"DUE","OK")))</f>
      </c>
    </row>
  </sheetData>
  <mergeCells count="2">
    <mergeCell ref="A1:C1"/>
    <mergeCell ref="A2:E2"/>
  </mergeCells>
  <conditionalFormatting sqref="E5:E25">
    <cfRule type="expression" dxfId="0" priority="1">
      <formula>E5="OVERDUE"</formula>
    </cfRule>
    <cfRule type="expression" dxfId="1" priority="2">
      <formula>E5="DUE"</formula>
    </cfRule>
    <cfRule type="expression" dxfId="2" priority="3">
      <formula>E5="OK"</formula>
    </cfRule>
  </conditionalFormatting>
  <pageMargins left="0.4" right="0.4" top="0.5" bottom="0.5" header="0.3" footer="0.3"/>
  <pageSetup paperSize="9" orientation="portrait" fitToWidth="1" fitToHeight="0"/>
</worksheet>
</file>

<file path=xl/worksheets/sheet7.xml><?xml version="1.0" encoding="utf-8"?>
<worksheet xmlns="http://schemas.openxmlformats.org/spreadsheetml/2006/main">
  <sheetPr>
    <tabColor rgb="FF0D5C45"/>
    <pageSetUpPr fitToPage="1"/>
  </sheetPr>
  <sheetViews>
    <sheetView showGridLines="0" workbookViewId="0">
      <pane ySplit="4" topLeftCell="A5" activePane="bottomLeft" state="frozen"/>
    </sheetView>
  </sheetViews>
  <sheetFormatPr defaultRowHeight="15"/>
  <cols>
    <col min="1" max="1" width="26" customWidth="1"/>
    <col min="2" max="2" width="18" customWidth="1"/>
    <col min="3" max="3" width="20" customWidth="1"/>
    <col min="4" max="4" width="16" customWidth="1"/>
    <col min="5" max="5" width="15" customWidth="1"/>
    <col min="6" max="6" width="24" customWidth="1"/>
  </cols>
  <sheetData>
    <row r="1" ht="24" customHeight="1">
      <c r="A1" s="1" t="inlineStr">
        <is>
          <t>DBS re-check log</t>
        </is>
      </c>
    </row>
    <row r="2">
      <c r="A2" s="2" t="inlineStr">
        <is>
          <t>For staff on the Update Service: there is no set frequency in the regulations, and a common policy is a status check every six months (one minute each, with consent). Note the date and the next one computes itself.</t>
        </is>
      </c>
    </row>
    <row r="3"/>
    <row r="4" ht="30" customHeight="1">
      <c r="A4" s="4" t="inlineStr">
        <is>
          <t>Staff member</t>
        </is>
      </c>
      <c r="B4" s="4" t="inlineStr">
        <is>
          <t>Certificate number</t>
        </is>
      </c>
      <c r="C4" s="4" t="inlineStr">
        <is>
          <t>On the Update Service?</t>
        </is>
      </c>
      <c r="D4" s="4" t="inlineStr">
        <is>
          <t>Last status check</t>
        </is>
      </c>
      <c r="E4" s="4" t="inlineStr">
        <is>
          <t>Next check due</t>
        </is>
      </c>
      <c r="F4" s="4" t="inlineStr">
        <is>
          <t>Notes</t>
        </is>
      </c>
    </row>
    <row r="5">
      <c r="A5" s="8" t="inlineStr">
        <is>
          <t>Example, overtype or delete me</t>
        </is>
      </c>
      <c r="B5" s="5" t="inlineStr">
        <is>
          <t>001234567890</t>
        </is>
      </c>
      <c r="C5" s="7" t="inlineStr">
        <is>
          <t>Yes</t>
        </is>
      </c>
      <c r="D5" s="11">
        <v>46071</v>
      </c>
      <c r="E5" s="10">
        <f>IF(D5="","",EDATE(D5,6))</f>
      </c>
      <c r="F5" s="5" t="inlineStr">
        <is>
          <t>No change</t>
        </is>
      </c>
    </row>
    <row r="6">
      <c r="A6" s="5"/>
      <c r="B6" s="5"/>
      <c r="C6" s="7"/>
      <c r="D6" s="7"/>
      <c r="E6" s="10">
        <f>IF(D6="","",EDATE(D6,6))</f>
      </c>
      <c r="F6" s="5"/>
    </row>
    <row r="7">
      <c r="A7" s="5"/>
      <c r="B7" s="5"/>
      <c r="C7" s="7"/>
      <c r="D7" s="7"/>
      <c r="E7" s="10">
        <f>IF(D7="","",EDATE(D7,6))</f>
      </c>
      <c r="F7" s="5"/>
    </row>
    <row r="8">
      <c r="A8" s="5"/>
      <c r="B8" s="5"/>
      <c r="C8" s="7"/>
      <c r="D8" s="7"/>
      <c r="E8" s="10">
        <f>IF(D8="","",EDATE(D8,6))</f>
      </c>
      <c r="F8" s="5"/>
    </row>
    <row r="9">
      <c r="A9" s="5"/>
      <c r="B9" s="5"/>
      <c r="C9" s="7"/>
      <c r="D9" s="7"/>
      <c r="E9" s="10">
        <f>IF(D9="","",EDATE(D9,6))</f>
      </c>
      <c r="F9" s="5"/>
    </row>
    <row r="10">
      <c r="A10" s="5"/>
      <c r="B10" s="5"/>
      <c r="C10" s="7"/>
      <c r="D10" s="7"/>
      <c r="E10" s="10">
        <f>IF(D10="","",EDATE(D10,6))</f>
      </c>
      <c r="F10" s="5"/>
    </row>
    <row r="11">
      <c r="A11" s="5"/>
      <c r="B11" s="5"/>
      <c r="C11" s="7"/>
      <c r="D11" s="7"/>
      <c r="E11" s="10">
        <f>IF(D11="","",EDATE(D11,6))</f>
      </c>
      <c r="F11" s="5"/>
    </row>
    <row r="12">
      <c r="A12" s="5"/>
      <c r="B12" s="5"/>
      <c r="C12" s="7"/>
      <c r="D12" s="7"/>
      <c r="E12" s="10">
        <f>IF(D12="","",EDATE(D12,6))</f>
      </c>
      <c r="F12" s="5"/>
    </row>
    <row r="13">
      <c r="A13" s="5"/>
      <c r="B13" s="5"/>
      <c r="C13" s="7"/>
      <c r="D13" s="7"/>
      <c r="E13" s="10">
        <f>IF(D13="","",EDATE(D13,6))</f>
      </c>
      <c r="F13" s="5"/>
    </row>
    <row r="14">
      <c r="A14" s="5"/>
      <c r="B14" s="5"/>
      <c r="C14" s="7"/>
      <c r="D14" s="7"/>
      <c r="E14" s="10">
        <f>IF(D14="","",EDATE(D14,6))</f>
      </c>
      <c r="F14" s="5"/>
    </row>
    <row r="15">
      <c r="A15" s="5"/>
      <c r="B15" s="5"/>
      <c r="C15" s="7"/>
      <c r="D15" s="7"/>
      <c r="E15" s="10">
        <f>IF(D15="","",EDATE(D15,6))</f>
      </c>
      <c r="F15" s="5"/>
    </row>
    <row r="16">
      <c r="A16" s="5"/>
      <c r="B16" s="5"/>
      <c r="C16" s="7"/>
      <c r="D16" s="7"/>
      <c r="E16" s="10">
        <f>IF(D16="","",EDATE(D16,6))</f>
      </c>
      <c r="F16" s="5"/>
    </row>
    <row r="17">
      <c r="A17" s="5"/>
      <c r="B17" s="5"/>
      <c r="C17" s="7"/>
      <c r="D17" s="7"/>
      <c r="E17" s="10">
        <f>IF(D17="","",EDATE(D17,6))</f>
      </c>
      <c r="F17" s="5"/>
    </row>
    <row r="18">
      <c r="A18" s="5"/>
      <c r="B18" s="5"/>
      <c r="C18" s="7"/>
      <c r="D18" s="7"/>
      <c r="E18" s="10">
        <f>IF(D18="","",EDATE(D18,6))</f>
      </c>
      <c r="F18" s="5"/>
    </row>
    <row r="19">
      <c r="A19" s="5"/>
      <c r="B19" s="5"/>
      <c r="C19" s="7"/>
      <c r="D19" s="7"/>
      <c r="E19" s="10">
        <f>IF(D19="","",EDATE(D19,6))</f>
      </c>
      <c r="F19" s="5"/>
    </row>
    <row r="20">
      <c r="A20" s="5"/>
      <c r="B20" s="5"/>
      <c r="C20" s="7"/>
      <c r="D20" s="7"/>
      <c r="E20" s="10">
        <f>IF(D20="","",EDATE(D20,6))</f>
      </c>
      <c r="F20" s="5"/>
    </row>
    <row r="21">
      <c r="A21" s="5"/>
      <c r="B21" s="5"/>
      <c r="C21" s="7"/>
      <c r="D21" s="7"/>
      <c r="E21" s="10">
        <f>IF(D21="","",EDATE(D21,6))</f>
      </c>
      <c r="F21" s="5"/>
    </row>
    <row r="22">
      <c r="A22" s="5"/>
      <c r="B22" s="5"/>
      <c r="C22" s="7"/>
      <c r="D22" s="7"/>
      <c r="E22" s="10">
        <f>IF(D22="","",EDATE(D22,6))</f>
      </c>
      <c r="F22" s="5"/>
    </row>
    <row r="23">
      <c r="A23" s="5"/>
      <c r="B23" s="5"/>
      <c r="C23" s="7"/>
      <c r="D23" s="7"/>
      <c r="E23" s="10">
        <f>IF(D23="","",EDATE(D23,6))</f>
      </c>
      <c r="F23" s="5"/>
    </row>
    <row r="24">
      <c r="A24" s="5"/>
      <c r="B24" s="5"/>
      <c r="C24" s="7"/>
      <c r="D24" s="7"/>
      <c r="E24" s="10">
        <f>IF(D24="","",EDATE(D24,6))</f>
      </c>
      <c r="F24" s="5"/>
    </row>
    <row r="25">
      <c r="A25" s="5"/>
      <c r="B25" s="5"/>
      <c r="C25" s="7"/>
      <c r="D25" s="7"/>
      <c r="E25" s="10">
        <f>IF(D25="","",EDATE(D25,6))</f>
      </c>
      <c r="F25" s="5"/>
    </row>
  </sheetData>
  <mergeCells count="2">
    <mergeCell ref="A1:C1"/>
    <mergeCell ref="A2:F2"/>
  </mergeCells>
  <conditionalFormatting sqref="E5:E25">
    <cfRule type="expression" dxfId="0" priority="1">
      <formula>AND(E5&lt;&gt;"",E5&lt;TODAY())</formula>
    </cfRule>
    <cfRule type="expression" dxfId="1" priority="2">
      <formula>AND(E5&lt;&gt;"",E5&lt;TODAY()+30)</formula>
    </cfRule>
    <cfRule type="expression" dxfId="2" priority="3">
      <formula>AND(E5&lt;&gt;"",E5&gt;=TODAY()+30)</formula>
    </cfRule>
  </conditionalFormatting>
  <pageMargins left="0.4" right="0.4" top="0.5" bottom="0.5" header="0.3" footer="0.3"/>
  <pageSetup paperSize="9" orientation="portrait" fitToWidth="1" fitToHeight="0"/>
</worksheet>
</file>

<file path=xl/worksheets/sheet8.xml><?xml version="1.0" encoding="utf-8"?>
<worksheet xmlns="http://schemas.openxmlformats.org/spreadsheetml/2006/main">
  <sheetPr>
    <tabColor rgb="FF0D5C45"/>
    <pageSetUpPr fitToPage="1"/>
  </sheetPr>
  <sheetViews>
    <sheetView showGridLines="0" workbookViewId="0">
      <pane ySplit="4" topLeftCell="A5" activePane="bottomLeft" state="frozen"/>
    </sheetView>
  </sheetViews>
  <sheetFormatPr defaultRowHeight="15"/>
  <cols>
    <col min="1" max="1" width="30" customWidth="1"/>
    <col min="2" max="2" width="14" customWidth="1"/>
    <col min="3" max="3" width="20" customWidth="1"/>
    <col min="4" max="4" width="14" customWidth="1"/>
  </cols>
  <sheetData>
    <row r="1" ht="24" customHeight="1">
      <c r="A1" s="1" t="inlineStr">
        <is>
          <t>Governance clocks</t>
        </is>
      </c>
    </row>
    <row r="2">
      <c r="A2" s="2" t="inlineStr">
        <is>
          <t>Type the date each document was last reviewed; the next-due date computes itself. Below: the monthly independent visit grid.</t>
        </is>
      </c>
    </row>
    <row r="3"/>
    <row r="4" ht="30" customHeight="1">
      <c r="A4" s="4" t="inlineStr">
        <is>
          <t>Document</t>
        </is>
      </c>
      <c r="B4" s="4" t="inlineStr">
        <is>
          <t>Last reviewed</t>
        </is>
      </c>
      <c r="C4" s="4" t="inlineStr">
        <is>
          <t>Review every (months)</t>
        </is>
      </c>
      <c r="D4" s="4" t="inlineStr">
        <is>
          <t>Next due</t>
        </is>
      </c>
    </row>
    <row r="5">
      <c r="A5" s="5" t="inlineStr">
        <is>
          <t>Statement of purpose</t>
        </is>
      </c>
      <c r="B5" s="7"/>
      <c r="C5" s="7">
        <v>12</v>
      </c>
      <c r="D5" s="10">
        <f>IF(B5="","",EDATE(B5,C5))</f>
      </c>
    </row>
    <row r="6">
      <c r="A6" s="5" t="inlineStr">
        <is>
          <t>Location risk assessment</t>
        </is>
      </c>
      <c r="B6" s="7"/>
      <c r="C6" s="7">
        <v>12</v>
      </c>
      <c r="D6" s="10">
        <f>IF(B6="","",EDATE(B6,C6))</f>
      </c>
    </row>
    <row r="7">
      <c r="A7" s="5" t="inlineStr">
        <is>
          <t>Safeguarding policy</t>
        </is>
      </c>
      <c r="B7" s="7"/>
      <c r="C7" s="7">
        <v>12</v>
      </c>
      <c r="D7" s="10">
        <f>IF(B7="","",EDATE(B7,C7))</f>
      </c>
    </row>
    <row r="8">
      <c r="A8" s="5" t="inlineStr">
        <is>
          <t>Behaviour support policy</t>
        </is>
      </c>
      <c r="B8" s="7"/>
      <c r="C8" s="7">
        <v>12</v>
      </c>
      <c r="D8" s="10">
        <f>IF(B8="","",EDATE(B8,C8))</f>
      </c>
    </row>
    <row r="9">
      <c r="A9" s="5" t="inlineStr">
        <is>
          <t>Missing child policy</t>
        </is>
      </c>
      <c r="B9" s="7"/>
      <c r="C9" s="7">
        <v>12</v>
      </c>
      <c r="D9" s="10">
        <f>IF(B9="","",EDATE(B9,C9))</f>
      </c>
    </row>
    <row r="10">
      <c r="A10" s="5" t="inlineStr">
        <is>
          <t>Complaints policy</t>
        </is>
      </c>
      <c r="B10" s="7"/>
      <c r="C10" s="7">
        <v>12</v>
      </c>
      <c r="D10" s="10">
        <f>IF(B10="","",EDATE(B10,C10))</f>
      </c>
    </row>
    <row r="11">
      <c r="A11" s="5" t="inlineStr">
        <is>
          <t>Lone working assessment</t>
        </is>
      </c>
      <c r="B11" s="7"/>
      <c r="C11" s="7">
        <v>12</v>
      </c>
      <c r="D11" s="10">
        <f>IF(B11="","",EDATE(B11,C11))</f>
      </c>
    </row>
    <row r="12">
      <c r="A12" s="5" t="inlineStr">
        <is>
          <t>Workforce plan</t>
        </is>
      </c>
      <c r="B12" s="7"/>
      <c r="C12" s="7">
        <v>12</v>
      </c>
      <c r="D12" s="10">
        <f>IF(B12="","",EDATE(B12,C12))</f>
      </c>
    </row>
    <row r="13"/>
    <row r="14">
      <c r="A14" s="3" t="inlineStr">
        <is>
          <t>The monthly visit (regulation 44)</t>
        </is>
      </c>
    </row>
    <row r="15">
      <c r="A15" s="4" t="inlineStr">
        <is>
          <t>Month</t>
        </is>
      </c>
      <c r="B15" s="4" t="inlineStr">
        <is>
          <t>Visit date</t>
        </is>
      </c>
      <c r="C15" s="4" t="inlineStr">
        <is>
          <t>Report received</t>
        </is>
      </c>
      <c r="D15" s="4" t="inlineStr">
        <is>
          <t>Actions all closed?</t>
        </is>
      </c>
    </row>
    <row r="16">
      <c r="A16" s="5" t="inlineStr">
        <is>
          <t>January</t>
        </is>
      </c>
      <c r="B16" s="7"/>
      <c r="C16" s="7"/>
      <c r="D16" s="7"/>
    </row>
    <row r="17">
      <c r="A17" s="5" t="inlineStr">
        <is>
          <t>February</t>
        </is>
      </c>
      <c r="B17" s="7"/>
      <c r="C17" s="7"/>
      <c r="D17" s="7"/>
    </row>
    <row r="18">
      <c r="A18" s="5" t="inlineStr">
        <is>
          <t>March</t>
        </is>
      </c>
      <c r="B18" s="7"/>
      <c r="C18" s="7"/>
      <c r="D18" s="7"/>
    </row>
    <row r="19">
      <c r="A19" s="5" t="inlineStr">
        <is>
          <t>April</t>
        </is>
      </c>
      <c r="B19" s="7"/>
      <c r="C19" s="7"/>
      <c r="D19" s="7"/>
    </row>
    <row r="20">
      <c r="A20" s="5" t="inlineStr">
        <is>
          <t>May</t>
        </is>
      </c>
      <c r="B20" s="7"/>
      <c r="C20" s="7"/>
      <c r="D20" s="7"/>
    </row>
    <row r="21">
      <c r="A21" s="5" t="inlineStr">
        <is>
          <t>June</t>
        </is>
      </c>
      <c r="B21" s="7"/>
      <c r="C21" s="7"/>
      <c r="D21" s="7"/>
    </row>
    <row r="22">
      <c r="A22" s="5" t="inlineStr">
        <is>
          <t>July</t>
        </is>
      </c>
      <c r="B22" s="7"/>
      <c r="C22" s="7"/>
      <c r="D22" s="7"/>
    </row>
    <row r="23">
      <c r="A23" s="5" t="inlineStr">
        <is>
          <t>August</t>
        </is>
      </c>
      <c r="B23" s="7"/>
      <c r="C23" s="7"/>
      <c r="D23" s="7"/>
    </row>
    <row r="24">
      <c r="A24" s="5" t="inlineStr">
        <is>
          <t>September</t>
        </is>
      </c>
      <c r="B24" s="7"/>
      <c r="C24" s="7"/>
      <c r="D24" s="7"/>
    </row>
    <row r="25">
      <c r="A25" s="5" t="inlineStr">
        <is>
          <t>October</t>
        </is>
      </c>
      <c r="B25" s="7"/>
      <c r="C25" s="7"/>
      <c r="D25" s="7"/>
    </row>
    <row r="26">
      <c r="A26" s="5" t="inlineStr">
        <is>
          <t>November</t>
        </is>
      </c>
      <c r="B26" s="7"/>
      <c r="C26" s="7"/>
      <c r="D26" s="7"/>
    </row>
    <row r="27">
      <c r="A27" s="5" t="inlineStr">
        <is>
          <t>December</t>
        </is>
      </c>
      <c r="B27" s="7"/>
      <c r="C27" s="7"/>
      <c r="D27" s="7"/>
    </row>
    <row r="28"/>
    <row r="29">
      <c r="A29" s="6" t="inlineStr">
        <is>
          <t>Reg 45 quality of care review: due every six months, sent to Ofsted within 28 days of completing it.</t>
        </is>
      </c>
    </row>
  </sheetData>
  <mergeCells count="2">
    <mergeCell ref="A1:C1"/>
    <mergeCell ref="A2:D2"/>
  </mergeCells>
  <conditionalFormatting sqref="D5:D12">
    <cfRule type="expression" dxfId="0" priority="1">
      <formula>AND(D5&lt;&gt;"",D5&lt;TODAY())</formula>
    </cfRule>
    <cfRule type="expression" dxfId="1" priority="2">
      <formula>AND(D5&lt;&gt;"",D5&lt;TODAY()+60)</formula>
    </cfRule>
    <cfRule type="expression" dxfId="2" priority="3">
      <formula>AND(D5&lt;&gt;"",D5&gt;=TODAY()+60)</formula>
    </cfRule>
  </conditionalFormatting>
  <pageMargins left="0.4" right="0.4" top="0.5" bottom="0.5" header="0.3" footer="0.3"/>
  <pageSetup paperSize="9" orientation="portrait" fitToWidth="1" fitToHeight="0"/>
</worksheet>
</file>

<file path=xl/worksheets/sheet9.xml><?xml version="1.0" encoding="utf-8"?>
<worksheet xmlns="http://schemas.openxmlformats.org/spreadsheetml/2006/main">
  <sheetPr>
    <tabColor rgb="FF0D5C45"/>
    <pageSetUpPr fitToPage="1"/>
  </sheetPr>
  <sheetViews>
    <sheetView showGridLines="0" workbookViewId="0">
      <pane ySplit="4" topLeftCell="A5" activePane="bottomLeft" state="frozen"/>
    </sheetView>
  </sheetViews>
  <sheetFormatPr defaultRowHeight="15"/>
  <cols>
    <col min="1" max="1" width="42" customWidth="1"/>
    <col min="2" max="2" width="48" customWidth="1"/>
    <col min="3" max="3" width="12" customWidth="1"/>
    <col min="4" max="4" width="13" customWidth="1"/>
    <col min="5" max="5" width="26" customWidth="1"/>
  </cols>
  <sheetData>
    <row r="1" ht="24" customHeight="1">
      <c r="A1" s="1" t="inlineStr">
        <is>
          <t>The staff file, Schedule 2</t>
        </is>
      </c>
    </row>
    <row r="2">
      <c r="A2" s="2" t="inlineStr">
        <is>
          <t>One sheet per person: duplicate this tab and name it after them. An inspector reads a file against exactly this list.</t>
        </is>
      </c>
    </row>
    <row r="3"/>
    <row r="4" ht="30" customHeight="1">
      <c r="A4" s="4" t="inlineStr">
        <is>
          <t>What the file must hold</t>
        </is>
      </c>
      <c r="B4" s="4" t="inlineStr">
        <is>
          <t>What satisfies it</t>
        </is>
      </c>
      <c r="C4" s="4" t="inlineStr">
        <is>
          <t>In the file?</t>
        </is>
      </c>
      <c r="D4" s="4" t="inlineStr">
        <is>
          <t>Date checked</t>
        </is>
      </c>
      <c r="E4" s="4" t="inlineStr">
        <is>
          <t>Notes</t>
        </is>
      </c>
    </row>
    <row r="5">
      <c r="A5" s="5" t="inlineStr">
        <is>
          <t>Proof of identity, with a recent photograph</t>
        </is>
      </c>
      <c r="B5" s="8" t="inlineStr">
        <is>
          <t>Passport or licence plus a dated photo, copies in the file</t>
        </is>
      </c>
      <c r="C5" s="7"/>
      <c r="D5" s="7"/>
      <c r="E5" s="5"/>
    </row>
    <row r="6">
      <c r="A6" s="5" t="inlineStr">
        <is>
          <t>Enhanced DBS with children's barred list check</t>
        </is>
      </c>
      <c r="B6" s="8" t="inlineStr">
        <is>
          <t>Certificate number and date recorded; never the disclosure content</t>
        </is>
      </c>
      <c r="C6" s="7"/>
      <c r="D6" s="7"/>
      <c r="E6" s="5"/>
    </row>
    <row r="7">
      <c r="A7" s="5" t="inlineStr">
        <is>
          <t>Two written references, one from the most recent employer</t>
        </is>
      </c>
      <c r="B7" s="8" t="inlineStr">
        <is>
          <t>On file, checked by phone, with a note of the call</t>
        </is>
      </c>
      <c r="C7" s="7"/>
      <c r="D7" s="7"/>
      <c r="E7" s="5"/>
    </row>
    <row r="8">
      <c r="A8" s="5" t="inlineStr">
        <is>
          <t>Why previous work with children or vulnerable adults ended</t>
        </is>
      </c>
      <c r="B8" s="8" t="inlineStr">
        <is>
          <t>Checked as far as practicable, in writing</t>
        </is>
      </c>
      <c r="C8" s="7"/>
      <c r="D8" s="7"/>
      <c r="E8" s="5"/>
    </row>
    <row r="9">
      <c r="A9" s="5" t="inlineStr">
        <is>
          <t>Documentary evidence of qualifications</t>
        </is>
      </c>
      <c r="B9" s="8" t="inlineStr">
        <is>
          <t>The certificates themselves, not a CV line</t>
        </is>
      </c>
      <c r="C9" s="7"/>
      <c r="D9" s="7"/>
      <c r="E9" s="5"/>
    </row>
    <row r="10">
      <c r="A10" s="5" t="inlineStr">
        <is>
          <t>Full employment history with every gap explained in writing</t>
        </is>
      </c>
      <c r="B10" s="8" t="inlineStr">
        <is>
          <t>Use the Employment gaps tab; anything over a month needs a sentence</t>
        </is>
      </c>
      <c r="C10" s="7"/>
      <c r="D10" s="7"/>
      <c r="E10" s="5"/>
    </row>
    <row r="11">
      <c r="A11" s="5" t="inlineStr">
        <is>
          <t>Right to work in the UK</t>
        </is>
      </c>
      <c r="B11" s="8" t="inlineStr">
        <is>
          <t>Evidence checked and copied before day one</t>
        </is>
      </c>
      <c r="C11" s="7"/>
      <c r="D11" s="7"/>
      <c r="E11" s="5"/>
    </row>
    <row r="12">
      <c r="A12" s="5" t="inlineStr">
        <is>
          <t>Health: fit for the role</t>
        </is>
      </c>
      <c r="B12" s="8" t="inlineStr">
        <is>
          <t>Assessment date recorded; the assessment itself stays with occupational health</t>
        </is>
      </c>
      <c r="C12" s="7"/>
      <c r="D12" s="7"/>
      <c r="E12" s="5"/>
    </row>
    <row r="13">
      <c r="A13" s="5" t="inlineStr">
        <is>
          <t>Interview record</t>
        </is>
      </c>
      <c r="B13" s="8" t="inlineStr">
        <is>
          <t>Who interviewed, when, and the judgment reached</t>
        </is>
      </c>
      <c r="C13" s="7"/>
      <c r="D13" s="7"/>
      <c r="E13" s="5"/>
    </row>
    <row r="14">
      <c r="A14" s="5" t="inlineStr">
        <is>
          <t>DBS Update Service status, if subscribed</t>
        </is>
      </c>
      <c r="B14" s="8" t="inlineStr">
        <is>
          <t>Consent noted and the date of the last status check</t>
        </is>
      </c>
      <c r="C14" s="7"/>
      <c r="D14" s="7"/>
      <c r="E14" s="5"/>
    </row>
  </sheetData>
  <mergeCells count="2">
    <mergeCell ref="A1:C1"/>
    <mergeCell ref="A2:E2"/>
  </mergeCells>
  <pageMargins left="0.4" right="0.4" top="0.5" bottom="0.5" header="0.3" footer="0.3"/>
  <pageSetup paperSize="9" orientation="landscape" fitToWidth="1" fitToHeight="0"/>
</worksheet>
</file>

<file path=xl/worksheets/sheet10.xml><?xml version="1.0" encoding="utf-8"?>
<worksheet xmlns="http://schemas.openxmlformats.org/spreadsheetml/2006/main">
  <sheetPr>
    <tabColor rgb="FF0D5C45"/>
    <pageSetUpPr fitToPage="1"/>
  </sheetPr>
  <sheetViews>
    <sheetView showGridLines="0" workbookViewId="0">
      <pane ySplit="4" topLeftCell="A5" activePane="bottomLeft" state="frozen"/>
    </sheetView>
  </sheetViews>
  <sheetFormatPr defaultRowHeight="15"/>
  <cols>
    <col min="1" max="1" width="16" customWidth="1"/>
    <col min="2" max="2" width="16" customWidth="1"/>
    <col min="3" max="3" width="36" customWidth="1"/>
    <col min="4" max="4" width="24" customWidth="1"/>
    <col min="5" max="5" width="26" customWidth="1"/>
    <col min="6" max="6" width="10" customWidth="1"/>
  </cols>
  <sheetData>
    <row r="1" ht="24" customHeight="1">
      <c r="A1" s="1" t="inlineStr">
        <is>
          <t>Employment history, gaps explained</t>
        </is>
      </c>
    </row>
    <row r="2">
      <c r="A2" s="2" t="inlineStr">
        <is>
          <t>Work backwards from their current job. The most common file failure is a gap with no written explanation. "Travelling" written down is a pass. Silence is a finding.</t>
        </is>
      </c>
    </row>
    <row r="3"/>
    <row r="4" ht="30" customHeight="1">
      <c r="A4" s="4" t="inlineStr">
        <is>
          <t>From (month/year)</t>
        </is>
      </c>
      <c r="B4" s="4" t="inlineStr">
        <is>
          <t>To (month/year)</t>
        </is>
      </c>
      <c r="C4" s="4" t="inlineStr">
        <is>
          <t>Employer, course, or what the gap was</t>
        </is>
      </c>
      <c r="D4" s="4" t="inlineStr">
        <is>
          <t>Role</t>
        </is>
      </c>
      <c r="E4" s="4" t="inlineStr">
        <is>
          <t>Reason for leaving</t>
        </is>
      </c>
      <c r="F4" s="4" t="inlineStr">
        <is>
          <t>Checked?</t>
        </is>
      </c>
    </row>
    <row r="5">
      <c r="A5" s="7"/>
      <c r="B5" s="7"/>
      <c r="C5" s="5"/>
      <c r="D5" s="5"/>
      <c r="E5" s="5"/>
      <c r="F5" s="7"/>
    </row>
    <row r="6">
      <c r="A6" s="7"/>
      <c r="B6" s="7"/>
      <c r="C6" s="5"/>
      <c r="D6" s="5"/>
      <c r="E6" s="5"/>
      <c r="F6" s="7"/>
    </row>
    <row r="7">
      <c r="A7" s="7"/>
      <c r="B7" s="7"/>
      <c r="C7" s="5"/>
      <c r="D7" s="5"/>
      <c r="E7" s="5"/>
      <c r="F7" s="7"/>
    </row>
    <row r="8">
      <c r="A8" s="7"/>
      <c r="B8" s="7"/>
      <c r="C8" s="5"/>
      <c r="D8" s="5"/>
      <c r="E8" s="5"/>
      <c r="F8" s="7"/>
    </row>
    <row r="9">
      <c r="A9" s="7"/>
      <c r="B9" s="7"/>
      <c r="C9" s="5"/>
      <c r="D9" s="5"/>
      <c r="E9" s="5"/>
      <c r="F9" s="7"/>
    </row>
    <row r="10">
      <c r="A10" s="7"/>
      <c r="B10" s="7"/>
      <c r="C10" s="5"/>
      <c r="D10" s="5"/>
      <c r="E10" s="5"/>
      <c r="F10" s="7"/>
    </row>
    <row r="11">
      <c r="A11" s="7"/>
      <c r="B11" s="7"/>
      <c r="C11" s="5"/>
      <c r="D11" s="5"/>
      <c r="E11" s="5"/>
      <c r="F11" s="7"/>
    </row>
    <row r="12">
      <c r="A12" s="7"/>
      <c r="B12" s="7"/>
      <c r="C12" s="5"/>
      <c r="D12" s="5"/>
      <c r="E12" s="5"/>
      <c r="F12" s="7"/>
    </row>
    <row r="13">
      <c r="A13" s="7"/>
      <c r="B13" s="7"/>
      <c r="C13" s="5"/>
      <c r="D13" s="5"/>
      <c r="E13" s="5"/>
      <c r="F13" s="7"/>
    </row>
    <row r="14">
      <c r="A14" s="7"/>
      <c r="B14" s="7"/>
      <c r="C14" s="5"/>
      <c r="D14" s="5"/>
      <c r="E14" s="5"/>
      <c r="F14" s="7"/>
    </row>
    <row r="15">
      <c r="A15" s="7"/>
      <c r="B15" s="7"/>
      <c r="C15" s="5"/>
      <c r="D15" s="5"/>
      <c r="E15" s="5"/>
      <c r="F15" s="7"/>
    </row>
    <row r="16">
      <c r="A16" s="7"/>
      <c r="B16" s="7"/>
      <c r="C16" s="5"/>
      <c r="D16" s="5"/>
      <c r="E16" s="5"/>
      <c r="F16" s="7"/>
    </row>
    <row r="17">
      <c r="A17" s="7"/>
      <c r="B17" s="7"/>
      <c r="C17" s="5"/>
      <c r="D17" s="5"/>
      <c r="E17" s="5"/>
      <c r="F17" s="7"/>
    </row>
    <row r="18">
      <c r="A18" s="7"/>
      <c r="B18" s="7"/>
      <c r="C18" s="5"/>
      <c r="D18" s="5"/>
      <c r="E18" s="5"/>
      <c r="F18" s="7"/>
    </row>
    <row r="19">
      <c r="A19" s="7"/>
      <c r="B19" s="7"/>
      <c r="C19" s="5"/>
      <c r="D19" s="5"/>
      <c r="E19" s="5"/>
      <c r="F19" s="7"/>
    </row>
  </sheetData>
  <mergeCells count="2">
    <mergeCell ref="A1:C1"/>
    <mergeCell ref="A2:F2"/>
  </mergeCells>
  <pageMargins left="0.4" right="0.4" top="0.5" bottom="0.5" header="0.3" footer="0.3"/>
  <pageSetup paperSize="9" orientation="landscape" fitToWidth="1" fitToHeight="0"/>
</worksheet>
</file>

<file path=xl/worksheets/sheet11.xml><?xml version="1.0" encoding="utf-8"?>
<worksheet xmlns="http://schemas.openxmlformats.org/spreadsheetml/2006/main">
  <sheetPr>
    <tabColor rgb="FF0D5C45"/>
    <pageSetUpPr fitToPage="1"/>
  </sheetPr>
  <sheetViews>
    <sheetView showGridLines="0" workbookViewId="0">
      <pane ySplit="4" topLeftCell="A5" activePane="bottomLeft" state="frozen"/>
    </sheetView>
  </sheetViews>
  <sheetFormatPr defaultRowHeight="15"/>
  <cols>
    <col min="1" max="1" width="46" customWidth="1"/>
    <col min="2" max="2" width="30" customWidth="1"/>
    <col min="3" max="3" width="20" customWidth="1"/>
    <col min="4" max="4" width="40" customWidth="1"/>
  </cols>
  <sheetData>
    <row r="1" ht="24" customHeight="1">
      <c r="A1" s="1" t="inlineStr">
        <is>
          <t>The inspector's opening list</t>
        </is>
      </c>
    </row>
    <row r="2">
      <c r="A2" s="2" t="inlineStr">
        <is>
          <t>The eleven staff-side things every full inspection asks for. Grade yourself honestly before Ofsted does it for you.</t>
        </is>
      </c>
    </row>
    <row r="3"/>
    <row r="4" ht="30" customHeight="1">
      <c r="A4" s="4" t="inlineStr">
        <is>
          <t>The inspector asks for</t>
        </is>
      </c>
      <c r="B4" s="4" t="inlineStr">
        <is>
          <t>Where yours lives today</t>
        </is>
      </c>
      <c r="C4" s="4" t="inlineStr">
        <is>
          <t>Ready / Question / Gap</t>
        </is>
      </c>
      <c r="D4" s="4" t="inlineStr">
        <is>
          <t>What would make it Ready</t>
        </is>
      </c>
    </row>
    <row r="5">
      <c r="A5" s="5" t="inlineStr">
        <is>
          <t>Statement of purpose, current and reviewed</t>
        </is>
      </c>
      <c r="B5" s="5"/>
      <c r="C5" s="7"/>
      <c r="D5" s="5"/>
    </row>
    <row r="6">
      <c r="A6" s="5" t="inlineStr">
        <is>
          <t>Staff list with qualifications and planned qualification updates</t>
        </is>
      </c>
      <c r="B6" s="5"/>
      <c r="C6" s="7"/>
      <c r="D6" s="5"/>
    </row>
    <row r="7">
      <c r="A7" s="5" t="inlineStr">
        <is>
          <t>Recruitment and vetting records, complete for every person</t>
        </is>
      </c>
      <c r="B7" s="5"/>
      <c r="C7" s="7"/>
      <c r="D7" s="5"/>
    </row>
    <row r="8">
      <c r="A8" s="5" t="inlineStr">
        <is>
          <t>Training records, mandatory courses in date</t>
        </is>
      </c>
      <c r="B8" s="5"/>
      <c r="C8" s="7"/>
      <c r="D8" s="5"/>
    </row>
    <row r="9">
      <c r="A9" s="5" t="inlineStr">
        <is>
          <t>Supervision records, everyone in cycle including the manager</t>
        </is>
      </c>
      <c r="B9" s="5"/>
      <c r="C9" s="7"/>
      <c r="D9" s="5"/>
    </row>
    <row r="10">
      <c r="A10" s="5" t="inlineStr">
        <is>
          <t>Staffing rotas, planned and as actually worked</t>
        </is>
      </c>
      <c r="B10" s="5"/>
      <c r="C10" s="7"/>
      <c r="D10" s="5"/>
    </row>
    <row r="11">
      <c r="A11" s="5" t="inlineStr">
        <is>
          <t>Allegations records, held securely with timescales evidenced</t>
        </is>
      </c>
      <c r="B11" s="5"/>
      <c r="C11" s="7"/>
      <c r="D11" s="5"/>
    </row>
    <row r="12">
      <c r="A12" s="5" t="inlineStr">
        <is>
          <t>Reports of monthly regulation 44 visits</t>
        </is>
      </c>
      <c r="B12" s="5"/>
      <c r="C12" s="7"/>
      <c r="D12" s="5"/>
    </row>
    <row r="13">
      <c r="A13" s="5" t="inlineStr">
        <is>
          <t>Regulation 45 quality of care report, within six months</t>
        </is>
      </c>
      <c r="B13" s="5"/>
      <c r="C13" s="7"/>
      <c r="D13" s="5"/>
    </row>
    <row r="14">
      <c r="A14" s="5" t="inlineStr">
        <is>
          <t>Notifications made to Ofsted, with who else was told</t>
        </is>
      </c>
      <c r="B14" s="5"/>
      <c r="C14" s="7"/>
      <c r="D14" s="5"/>
    </row>
    <row r="15">
      <c r="A15" s="5" t="inlineStr">
        <is>
          <t>Location assessment, reviewed within the year</t>
        </is>
      </c>
      <c r="B15" s="5"/>
      <c r="C15" s="7"/>
      <c r="D15" s="5"/>
    </row>
  </sheetData>
  <mergeCells count="2">
    <mergeCell ref="A1:C1"/>
    <mergeCell ref="A2:D2"/>
  </mergeCells>
  <pageMargins left="0.4" right="0.4" top="0.5" bottom="0.5" header="0.3" footer="0.3"/>
  <pageSetup paperSize="9" orientation="landscape" fitToWidth="1" fitToHeight="0"/>
</worksheet>
</file>